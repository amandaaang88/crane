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anda_ang\Desktop\MBA\AI business\crane\"/>
    </mc:Choice>
  </mc:AlternateContent>
  <xr:revisionPtr revIDLastSave="0" documentId="8_{1FD8677D-89B4-491C-835F-2DCB4C247739}" xr6:coauthVersionLast="47" xr6:coauthVersionMax="47" xr10:uidLastSave="{00000000-0000-0000-0000-000000000000}"/>
  <bookViews>
    <workbookView xWindow="-110" yWindow="-110" windowWidth="19420" windowHeight="11500" tabRatio="500" activeTab="3" xr2:uid="{00000000-000D-0000-FFFF-FFFF00000000}"/>
  </bookViews>
  <sheets>
    <sheet name="Read Me" sheetId="1" r:id="rId1"/>
    <sheet name="Asset Register" sheetId="2" r:id="rId2"/>
    <sheet name="Maintenance Log" sheetId="3" r:id="rId3"/>
    <sheet name="Monthly Tren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22" i="4" l="1"/>
  <c r="M22" i="4"/>
  <c r="L22" i="4"/>
  <c r="K22" i="4"/>
  <c r="J22" i="4"/>
  <c r="I22" i="4"/>
  <c r="H22" i="4"/>
  <c r="G22" i="4"/>
  <c r="F22" i="4"/>
  <c r="E22" i="4"/>
  <c r="D22" i="4"/>
  <c r="C22" i="4"/>
  <c r="N21" i="4"/>
  <c r="M21" i="4"/>
  <c r="L21" i="4"/>
  <c r="K21" i="4"/>
  <c r="J21" i="4"/>
  <c r="I21" i="4"/>
  <c r="H21" i="4"/>
  <c r="G21" i="4"/>
  <c r="F21" i="4"/>
  <c r="E21" i="4"/>
  <c r="D21" i="4"/>
  <c r="C21" i="4"/>
  <c r="N20" i="4"/>
  <c r="N32" i="4" s="1"/>
  <c r="M20" i="4"/>
  <c r="M32" i="4" s="1"/>
  <c r="L20" i="4"/>
  <c r="L32" i="4" s="1"/>
  <c r="K20" i="4"/>
  <c r="K32" i="4" s="1"/>
  <c r="J20" i="4"/>
  <c r="J32" i="4" s="1"/>
  <c r="I20" i="4"/>
  <c r="I32" i="4" s="1"/>
  <c r="H20" i="4"/>
  <c r="H32" i="4" s="1"/>
  <c r="G20" i="4"/>
  <c r="G32" i="4" s="1"/>
  <c r="F20" i="4"/>
  <c r="F32" i="4" s="1"/>
  <c r="E20" i="4"/>
  <c r="E32" i="4" s="1"/>
  <c r="D20" i="4"/>
  <c r="D32" i="4" s="1"/>
  <c r="C20" i="4"/>
  <c r="C32" i="4" s="1"/>
  <c r="N19" i="4"/>
  <c r="M19" i="4"/>
  <c r="L19" i="4"/>
  <c r="K19" i="4"/>
  <c r="J19" i="4"/>
  <c r="I19" i="4"/>
  <c r="H19" i="4"/>
  <c r="G19" i="4"/>
  <c r="F19" i="4"/>
  <c r="E19" i="4"/>
  <c r="D19" i="4"/>
  <c r="C19" i="4"/>
  <c r="N18" i="4"/>
  <c r="M18" i="4"/>
  <c r="L18" i="4"/>
  <c r="K18" i="4"/>
  <c r="J18" i="4"/>
  <c r="I18" i="4"/>
  <c r="H18" i="4"/>
  <c r="G18" i="4"/>
  <c r="F18" i="4"/>
  <c r="E18" i="4"/>
  <c r="D18" i="4"/>
  <c r="C18" i="4"/>
  <c r="N17" i="4"/>
  <c r="N31" i="4" s="1"/>
  <c r="M17" i="4"/>
  <c r="M31" i="4" s="1"/>
  <c r="L17" i="4"/>
  <c r="L31" i="4" s="1"/>
  <c r="K17" i="4"/>
  <c r="K31" i="4" s="1"/>
  <c r="J17" i="4"/>
  <c r="J31" i="4" s="1"/>
  <c r="I17" i="4"/>
  <c r="I31" i="4" s="1"/>
  <c r="H17" i="4"/>
  <c r="H31" i="4" s="1"/>
  <c r="G17" i="4"/>
  <c r="G31" i="4" s="1"/>
  <c r="F17" i="4"/>
  <c r="F31" i="4" s="1"/>
  <c r="E17" i="4"/>
  <c r="E31" i="4" s="1"/>
  <c r="D17" i="4"/>
  <c r="D31" i="4" s="1"/>
  <c r="C17" i="4"/>
  <c r="C31" i="4" s="1"/>
  <c r="N16" i="4"/>
  <c r="M16" i="4"/>
  <c r="L16" i="4"/>
  <c r="K16" i="4"/>
  <c r="J16" i="4"/>
  <c r="I16" i="4"/>
  <c r="H16" i="4"/>
  <c r="G16" i="4"/>
  <c r="F16" i="4"/>
  <c r="E16" i="4"/>
  <c r="D16" i="4"/>
  <c r="C16" i="4"/>
  <c r="N15" i="4"/>
  <c r="M15" i="4"/>
  <c r="L15" i="4"/>
  <c r="K15" i="4"/>
  <c r="J15" i="4"/>
  <c r="I15" i="4"/>
  <c r="H15" i="4"/>
  <c r="G15" i="4"/>
  <c r="F15" i="4"/>
  <c r="E15" i="4"/>
  <c r="D15" i="4"/>
  <c r="C15" i="4"/>
  <c r="N14" i="4"/>
  <c r="N30" i="4" s="1"/>
  <c r="M14" i="4"/>
  <c r="M30" i="4" s="1"/>
  <c r="L14" i="4"/>
  <c r="L30" i="4" s="1"/>
  <c r="K14" i="4"/>
  <c r="K30" i="4" s="1"/>
  <c r="J14" i="4"/>
  <c r="J30" i="4" s="1"/>
  <c r="I14" i="4"/>
  <c r="I30" i="4" s="1"/>
  <c r="H14" i="4"/>
  <c r="H30" i="4" s="1"/>
  <c r="G14" i="4"/>
  <c r="G30" i="4" s="1"/>
  <c r="F14" i="4"/>
  <c r="F30" i="4" s="1"/>
  <c r="E14" i="4"/>
  <c r="E30" i="4" s="1"/>
  <c r="D14" i="4"/>
  <c r="D30" i="4" s="1"/>
  <c r="C14" i="4"/>
  <c r="C30" i="4" s="1"/>
  <c r="N13" i="4"/>
  <c r="M13" i="4"/>
  <c r="L13" i="4"/>
  <c r="K13" i="4"/>
  <c r="J13" i="4"/>
  <c r="I13" i="4"/>
  <c r="H13" i="4"/>
  <c r="G13" i="4"/>
  <c r="F13" i="4"/>
  <c r="E13" i="4"/>
  <c r="D13" i="4"/>
  <c r="C13" i="4"/>
  <c r="N12" i="4"/>
  <c r="M12" i="4"/>
  <c r="L12" i="4"/>
  <c r="K12" i="4"/>
  <c r="J12" i="4"/>
  <c r="I12" i="4"/>
  <c r="H12" i="4"/>
  <c r="G12" i="4"/>
  <c r="F12" i="4"/>
  <c r="E12" i="4"/>
  <c r="D12" i="4"/>
  <c r="C12" i="4"/>
  <c r="N11" i="4"/>
  <c r="N29" i="4" s="1"/>
  <c r="M11" i="4"/>
  <c r="M29" i="4" s="1"/>
  <c r="L11" i="4"/>
  <c r="L29" i="4" s="1"/>
  <c r="K11" i="4"/>
  <c r="K29" i="4" s="1"/>
  <c r="J11" i="4"/>
  <c r="J29" i="4" s="1"/>
  <c r="I11" i="4"/>
  <c r="I29" i="4" s="1"/>
  <c r="H11" i="4"/>
  <c r="H29" i="4" s="1"/>
  <c r="G11" i="4"/>
  <c r="G29" i="4" s="1"/>
  <c r="F11" i="4"/>
  <c r="F29" i="4" s="1"/>
  <c r="E11" i="4"/>
  <c r="E29" i="4" s="1"/>
  <c r="D11" i="4"/>
  <c r="D29" i="4" s="1"/>
  <c r="C11" i="4"/>
  <c r="C29" i="4" s="1"/>
  <c r="N10" i="4"/>
  <c r="M10" i="4"/>
  <c r="L10" i="4"/>
  <c r="K10" i="4"/>
  <c r="J10" i="4"/>
  <c r="I10" i="4"/>
  <c r="H10" i="4"/>
  <c r="G10" i="4"/>
  <c r="F10" i="4"/>
  <c r="E10" i="4"/>
  <c r="D10" i="4"/>
  <c r="C10" i="4"/>
  <c r="N9" i="4"/>
  <c r="M9" i="4"/>
  <c r="L9" i="4"/>
  <c r="K9" i="4"/>
  <c r="J9" i="4"/>
  <c r="I9" i="4"/>
  <c r="H9" i="4"/>
  <c r="G9" i="4"/>
  <c r="F9" i="4"/>
  <c r="E9" i="4"/>
  <c r="D9" i="4"/>
  <c r="C9" i="4"/>
  <c r="N8" i="4"/>
  <c r="N28" i="4" s="1"/>
  <c r="M8" i="4"/>
  <c r="M28" i="4" s="1"/>
  <c r="L8" i="4"/>
  <c r="L28" i="4" s="1"/>
  <c r="K8" i="4"/>
  <c r="K28" i="4" s="1"/>
  <c r="J8" i="4"/>
  <c r="J28" i="4" s="1"/>
  <c r="I8" i="4"/>
  <c r="I28" i="4" s="1"/>
  <c r="H8" i="4"/>
  <c r="H28" i="4" s="1"/>
  <c r="G8" i="4"/>
  <c r="G28" i="4" s="1"/>
  <c r="F8" i="4"/>
  <c r="F28" i="4" s="1"/>
  <c r="E8" i="4"/>
  <c r="E28" i="4" s="1"/>
  <c r="D8" i="4"/>
  <c r="D28" i="4" s="1"/>
  <c r="C8" i="4"/>
  <c r="C28" i="4" s="1"/>
  <c r="N7" i="4"/>
  <c r="M7" i="4"/>
  <c r="L7" i="4"/>
  <c r="K7" i="4"/>
  <c r="J7" i="4"/>
  <c r="I7" i="4"/>
  <c r="H7" i="4"/>
  <c r="G7" i="4"/>
  <c r="F7" i="4"/>
  <c r="E7" i="4"/>
  <c r="D7" i="4"/>
  <c r="C7" i="4"/>
  <c r="N6" i="4"/>
  <c r="M6" i="4"/>
  <c r="L6" i="4"/>
  <c r="K6" i="4"/>
  <c r="J6" i="4"/>
  <c r="I6" i="4"/>
  <c r="H6" i="4"/>
  <c r="G6" i="4"/>
  <c r="F6" i="4"/>
  <c r="E6" i="4"/>
  <c r="D6" i="4"/>
  <c r="C6" i="4"/>
  <c r="N5" i="4"/>
  <c r="N27" i="4" s="1"/>
  <c r="M5" i="4"/>
  <c r="M27" i="4" s="1"/>
  <c r="L5" i="4"/>
  <c r="L27" i="4" s="1"/>
  <c r="K5" i="4"/>
  <c r="K27" i="4" s="1"/>
  <c r="J5" i="4"/>
  <c r="J27" i="4" s="1"/>
  <c r="J33" i="4" s="1"/>
  <c r="I5" i="4"/>
  <c r="I27" i="4" s="1"/>
  <c r="I33" i="4" s="1"/>
  <c r="H5" i="4"/>
  <c r="H27" i="4" s="1"/>
  <c r="G5" i="4"/>
  <c r="G27" i="4" s="1"/>
  <c r="F5" i="4"/>
  <c r="F27" i="4" s="1"/>
  <c r="E5" i="4"/>
  <c r="E27" i="4" s="1"/>
  <c r="D5" i="4"/>
  <c r="D27" i="4" s="1"/>
  <c r="C5" i="4"/>
  <c r="C27" i="4" s="1"/>
  <c r="I19" i="2"/>
  <c r="F19" i="2"/>
  <c r="G19" i="2" s="1"/>
  <c r="H19" i="2" s="1"/>
  <c r="I18" i="2"/>
  <c r="F18" i="2"/>
  <c r="G18" i="2" s="1"/>
  <c r="H18" i="2" s="1"/>
  <c r="I17" i="2"/>
  <c r="F17" i="2"/>
  <c r="G17" i="2" s="1"/>
  <c r="H17" i="2" s="1"/>
  <c r="I16" i="2"/>
  <c r="F16" i="2"/>
  <c r="G16" i="2" s="1"/>
  <c r="H16" i="2" s="1"/>
  <c r="I15" i="2"/>
  <c r="F15" i="2"/>
  <c r="G15" i="2" s="1"/>
  <c r="H15" i="2" s="1"/>
  <c r="I14" i="2"/>
  <c r="G14" i="2"/>
  <c r="H14" i="2" s="1"/>
  <c r="F14" i="2"/>
  <c r="I13" i="2"/>
  <c r="G13" i="2"/>
  <c r="H13" i="2" s="1"/>
  <c r="F13" i="2"/>
  <c r="I12" i="2"/>
  <c r="F12" i="2"/>
  <c r="G12" i="2" s="1"/>
  <c r="H12" i="2" s="1"/>
  <c r="I11" i="2"/>
  <c r="F11" i="2"/>
  <c r="G11" i="2" s="1"/>
  <c r="H11" i="2" s="1"/>
  <c r="I10" i="2"/>
  <c r="F10" i="2"/>
  <c r="G10" i="2" s="1"/>
  <c r="H10" i="2" s="1"/>
  <c r="I9" i="2"/>
  <c r="F9" i="2"/>
  <c r="G9" i="2" s="1"/>
  <c r="H9" i="2" s="1"/>
  <c r="I8" i="2"/>
  <c r="G8" i="2"/>
  <c r="H8" i="2" s="1"/>
  <c r="F8" i="2"/>
  <c r="I7" i="2"/>
  <c r="G7" i="2"/>
  <c r="H7" i="2" s="1"/>
  <c r="F7" i="2"/>
  <c r="I6" i="2"/>
  <c r="G6" i="2"/>
  <c r="H6" i="2" s="1"/>
  <c r="F6" i="2"/>
  <c r="I5" i="2"/>
  <c r="F5" i="2"/>
  <c r="G5" i="2" s="1"/>
  <c r="H5" i="2" s="1"/>
  <c r="I4" i="2"/>
  <c r="F4" i="2"/>
  <c r="G4" i="2" s="1"/>
  <c r="H4" i="2" s="1"/>
  <c r="I3" i="2"/>
  <c r="F3" i="2"/>
  <c r="G3" i="2" s="1"/>
  <c r="H3" i="2" s="1"/>
  <c r="I2" i="2"/>
  <c r="F2" i="2"/>
  <c r="G2" i="2" s="1"/>
  <c r="H2" i="2" s="1"/>
  <c r="M33" i="4" l="1"/>
  <c r="N33" i="4"/>
  <c r="C33" i="4"/>
  <c r="K33" i="4"/>
  <c r="L33" i="4"/>
  <c r="D33" i="4"/>
  <c r="E33" i="4"/>
  <c r="F33" i="4"/>
  <c r="G33" i="4"/>
  <c r="H33" i="4"/>
</calcChain>
</file>

<file path=xl/sharedStrings.xml><?xml version="1.0" encoding="utf-8"?>
<sst xmlns="http://schemas.openxmlformats.org/spreadsheetml/2006/main" count="435" uniqueCount="169">
  <si>
    <t>TWC Fleet Maintenance &amp; Breakdown Data Collection</t>
  </si>
  <si>
    <t>Companion workbook to the Fleet Maintenance Index (web dashboard)</t>
  </si>
  <si>
    <t>Purpose</t>
  </si>
  <si>
    <t>This workbook is the single place to log real maintenance and breakdown events per unit. Once enough real entries accumulate, the Asset Register and Monthly Trend sheets update automatically, and those figures can be copied into the web dashboard's CLASSES data to replace the sample values.</t>
  </si>
  <si>
    <t>How to use it</t>
  </si>
  <si>
    <t>1. Open the 'Maintenance Log' tab. Every service visit or breakdown gets one row: pick the Unit ID from the dropdown, the date, the type (Scheduled Service / Breakdown), a short description, downtime in hours, and who attended.</t>
  </si>
  <si>
    <t>2. Do not edit the 'Asset Register' or 'Monthly Trend' tabs directly — every coloured formula cell there reads from the Maintenance Log automatically.</t>
  </si>
  <si>
    <t>3. 'Asset Register' always shows each unit's current Last Service Date, Days Since Service, live Status (OK / Due Soon / Overdue), and Breakdown count for the trailing 12 months.</t>
  </si>
  <si>
    <t>4. 'Monthly Trend' rolls the log up into a 12-month breakdown count per unit and per class, with a chart — this is the data the dashboard's future trend slider will consume.</t>
  </si>
  <si>
    <t>Colour key</t>
  </si>
  <si>
    <t>Yellow fill</t>
  </si>
  <si>
    <t>Cells you are expected to type into (the Maintenance Log rows).</t>
  </si>
  <si>
    <t>Blue text</t>
  </si>
  <si>
    <t>A hardcoded input value (e.g. service interval).</t>
  </si>
  <si>
    <t>Black text</t>
  </si>
  <si>
    <t>A formula — do not overwrite.</t>
  </si>
  <si>
    <t>Status logic</t>
  </si>
  <si>
    <t>OK: below 75% of the service interval elapsed  ·  Due Soon: 75-99%  ·  Overdue: 100%+ of the interval elapsed since last logged service.</t>
  </si>
  <si>
    <t>Data note</t>
  </si>
  <si>
    <t>The Asset Register and Maintenance Log are pre-seeded with the same illustrative sample units used in the web dashboard, so the two stay consistent while real data is still being collected. Replace/append rows in the Maintenance Log with real service records as they come in.</t>
  </si>
  <si>
    <t>Unit ID</t>
  </si>
  <si>
    <t>Asset Class</t>
  </si>
  <si>
    <t>Model</t>
  </si>
  <si>
    <t>Category</t>
  </si>
  <si>
    <t>Service Interval (days)</t>
  </si>
  <si>
    <t>Last Service Date</t>
  </si>
  <si>
    <t>Days Since Service</t>
  </si>
  <si>
    <t>Status</t>
  </si>
  <si>
    <t>Breakdowns (12mo)</t>
  </si>
  <si>
    <t>Notes</t>
  </si>
  <si>
    <t>CR-01</t>
  </si>
  <si>
    <t>Crawler Crane</t>
  </si>
  <si>
    <t>SANY SCC38000TM</t>
  </si>
  <si>
    <t>Tracked</t>
  </si>
  <si>
    <t>CR-02</t>
  </si>
  <si>
    <t>Demag CC2800-1</t>
  </si>
  <si>
    <t>CR-03</t>
  </si>
  <si>
    <t>Kobelco CKE2500</t>
  </si>
  <si>
    <t>AT-01</t>
  </si>
  <si>
    <t>Hydraulic / Mobile Crane</t>
  </si>
  <si>
    <t>Zoomlion ZAT9000V863</t>
  </si>
  <si>
    <t>Wheeled</t>
  </si>
  <si>
    <t>AT-02</t>
  </si>
  <si>
    <t>Grove GMK5095</t>
  </si>
  <si>
    <t>AT-03</t>
  </si>
  <si>
    <t>Grove GMK3055</t>
  </si>
  <si>
    <t>RT-01</t>
  </si>
  <si>
    <t>Rough Terrain Crane</t>
  </si>
  <si>
    <t>Grove RT760E</t>
  </si>
  <si>
    <t>RT-02</t>
  </si>
  <si>
    <t>GR-1450EX</t>
  </si>
  <si>
    <t>RT-03</t>
  </si>
  <si>
    <t>SANY SRC900T</t>
  </si>
  <si>
    <t>LC-01</t>
  </si>
  <si>
    <t>Lorry Crane</t>
  </si>
  <si>
    <t>TWC-LC10</t>
  </si>
  <si>
    <t>LC-02</t>
  </si>
  <si>
    <t>TWC-LC25</t>
  </si>
  <si>
    <t>LC-03</t>
  </si>
  <si>
    <t>EFFER 100T</t>
  </si>
  <si>
    <t>TC-01</t>
  </si>
  <si>
    <t>Tower Crane</t>
  </si>
  <si>
    <t>Jaso J180LPA-1</t>
  </si>
  <si>
    <t>Static</t>
  </si>
  <si>
    <t>TC-02</t>
  </si>
  <si>
    <t>Zoomlion T1200-64W</t>
  </si>
  <si>
    <t>TC-03</t>
  </si>
  <si>
    <t>Jaso J180LPA-3</t>
  </si>
  <si>
    <t>SP-01</t>
  </si>
  <si>
    <t>Self-Propelled Modular Trailer</t>
  </si>
  <si>
    <t>6-Line Module</t>
  </si>
  <si>
    <t>Transport</t>
  </si>
  <si>
    <t>SP-02</t>
  </si>
  <si>
    <t>12-Line Module</t>
  </si>
  <si>
    <t>SP-03</t>
  </si>
  <si>
    <t>24-Line Module</t>
  </si>
  <si>
    <t>Maintenance &amp; Breakdown Log — add one row per event</t>
  </si>
  <si>
    <t>Yellow rows are sample data illustrating the format. Add real entries below the last row.</t>
  </si>
  <si>
    <t>Log ID</t>
  </si>
  <si>
    <t>Date</t>
  </si>
  <si>
    <t>Type</t>
  </si>
  <si>
    <t>Description</t>
  </si>
  <si>
    <t>Downtime (hrs)</t>
  </si>
  <si>
    <t>Technician</t>
  </si>
  <si>
    <t>LOG-0001</t>
  </si>
  <si>
    <t>Scheduled Service</t>
  </si>
  <si>
    <t>Routine scheduled maintenance</t>
  </si>
  <si>
    <t>In-house Team A</t>
  </si>
  <si>
    <t>LOG-0002</t>
  </si>
  <si>
    <t>Breakdown</t>
  </si>
  <si>
    <t>Engine overheating</t>
  </si>
  <si>
    <t>LOG-0003</t>
  </si>
  <si>
    <t>LOG-0004</t>
  </si>
  <si>
    <t>Slew bearing wear</t>
  </si>
  <si>
    <t>In-house Team B</t>
  </si>
  <si>
    <t>LOG-0005</t>
  </si>
  <si>
    <t>Telematics sensor fault</t>
  </si>
  <si>
    <t>OEM service engineer</t>
  </si>
  <si>
    <t>LOG-0006</t>
  </si>
  <si>
    <t>Load moment indicator fault</t>
  </si>
  <si>
    <t>LOG-0007</t>
  </si>
  <si>
    <t>LOG-0008</t>
  </si>
  <si>
    <t>LOG-0009</t>
  </si>
  <si>
    <t>Hydraulic hose failure</t>
  </si>
  <si>
    <t>LOG-0010</t>
  </si>
  <si>
    <t>LOG-0011</t>
  </si>
  <si>
    <t>Winch motor failure</t>
  </si>
  <si>
    <t>LOG-0012</t>
  </si>
  <si>
    <t>LOG-0013</t>
  </si>
  <si>
    <t>LOG-0014</t>
  </si>
  <si>
    <t>Electrical fault - control panel</t>
  </si>
  <si>
    <t>External vendor - Electrical Co</t>
  </si>
  <si>
    <t>LOG-0015</t>
  </si>
  <si>
    <t>LOG-0016</t>
  </si>
  <si>
    <t>LOG-0017</t>
  </si>
  <si>
    <t>LOG-0018</t>
  </si>
  <si>
    <t>Track/tyre damage</t>
  </si>
  <si>
    <t>LOG-0019</t>
  </si>
  <si>
    <t>LOG-0020</t>
  </si>
  <si>
    <t>LOG-0021</t>
  </si>
  <si>
    <t>Cooling fan failure</t>
  </si>
  <si>
    <t>LOG-0022</t>
  </si>
  <si>
    <t>LOG-0023</t>
  </si>
  <si>
    <t>LOG-0024</t>
  </si>
  <si>
    <t>LOG-0025</t>
  </si>
  <si>
    <t>LOG-0026</t>
  </si>
  <si>
    <t>External vendor - Hydraulics Co</t>
  </si>
  <si>
    <t>LOG-0027</t>
  </si>
  <si>
    <t>LOG-0028</t>
  </si>
  <si>
    <t>LOG-0029</t>
  </si>
  <si>
    <t>LOG-0030</t>
  </si>
  <si>
    <t>LOG-0031</t>
  </si>
  <si>
    <t>LOG-0032</t>
  </si>
  <si>
    <t>LOG-0033</t>
  </si>
  <si>
    <t>LOG-0034</t>
  </si>
  <si>
    <t>LOG-0035</t>
  </si>
  <si>
    <t>LOG-0036</t>
  </si>
  <si>
    <t>LOG-0037</t>
  </si>
  <si>
    <t>LOG-0038</t>
  </si>
  <si>
    <t>LOG-0039</t>
  </si>
  <si>
    <t>LOG-0040</t>
  </si>
  <si>
    <t>LOG-0041</t>
  </si>
  <si>
    <t>LOG-0042</t>
  </si>
  <si>
    <t>LOG-0043</t>
  </si>
  <si>
    <t>LOG-0044</t>
  </si>
  <si>
    <t>LOG-0045</t>
  </si>
  <si>
    <t>LOG-0046</t>
  </si>
  <si>
    <t>LOG-0047</t>
  </si>
  <si>
    <t>LOG-0048</t>
  </si>
  <si>
    <t>LOG-0049</t>
  </si>
  <si>
    <t>LOG-0050</t>
  </si>
  <si>
    <t>Brake system fault</t>
  </si>
  <si>
    <t>Breakdown Trend — Trailing 12 Months (auto-calculated from Maintenance Log)</t>
  </si>
  <si>
    <t>This is the data the dashboard's trend slider will read from once populated with real entries.</t>
  </si>
  <si>
    <t>Class</t>
  </si>
  <si>
    <t>Aug-2025</t>
  </si>
  <si>
    <t>Sep-2025</t>
  </si>
  <si>
    <t>Oct-2025</t>
  </si>
  <si>
    <t>Nov-2025</t>
  </si>
  <si>
    <t>Dec-2025</t>
  </si>
  <si>
    <t>Jan-2026</t>
  </si>
  <si>
    <t>Feb-2026</t>
  </si>
  <si>
    <t>Mar-2026</t>
  </si>
  <si>
    <t>Apr-2026</t>
  </si>
  <si>
    <t>May-2026</t>
  </si>
  <si>
    <t>Jun-2026</t>
  </si>
  <si>
    <t>Jul-2026</t>
  </si>
  <si>
    <t>By Class</t>
  </si>
  <si>
    <t>Fleet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</si>
</sst>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9" x14ac:knownFonts="1">
    <font>
      <sz val="11"/>
      <color theme="1"/>
      <name val="Calibri"/>
      <family val="2"/>
      <charset val="1"/>
    </font>
    <font>
      <b/>
      <sz val="16"/>
      <color rgb="FF1B1B1B"/>
      <name val="Arial"/>
      <family val="2"/>
    </font>
    <font>
      <i/>
      <sz val="10"/>
      <color rgb="FF5A5346"/>
      <name val="Arial"/>
      <family val="2"/>
    </font>
    <font>
      <sz val="10"/>
      <color rgb="FF1B1B1B"/>
      <name val="Arial"/>
      <family val="2"/>
    </font>
    <font>
      <b/>
      <sz val="11"/>
      <color rgb="FF1B1B1B"/>
      <name val="Arial"/>
      <family val="2"/>
    </font>
    <font>
      <b/>
      <sz val="10"/>
      <name val="Arial"/>
      <family val="2"/>
    </font>
    <font>
      <sz val="10"/>
      <color rgb="FF0000FF"/>
      <name val="Arial"/>
      <family val="2"/>
    </font>
    <font>
      <b/>
      <sz val="10"/>
      <color rgb="FFFFFFFF"/>
      <name val="Arial"/>
      <family val="2"/>
    </font>
    <font>
      <i/>
      <sz val="9"/>
      <color rgb="FF8C8570"/>
      <name val="Arial"/>
      <family val="2"/>
    </font>
  </fonts>
  <fills count="6">
    <fill>
      <patternFill patternType="none"/>
    </fill>
    <fill>
      <patternFill patternType="gray125"/>
    </fill>
    <fill>
      <patternFill patternType="solid">
        <fgColor rgb="FFFFF7CC"/>
        <bgColor rgb="FFFBEBC7"/>
      </patternFill>
    </fill>
    <fill>
      <patternFill patternType="solid">
        <fgColor rgb="FF1B1B1B"/>
        <bgColor rgb="FF003300"/>
      </patternFill>
    </fill>
    <fill>
      <patternFill patternType="solid">
        <fgColor rgb="FFF5F4F0"/>
        <bgColor rgb="FFFFFFFF"/>
      </patternFill>
    </fill>
    <fill>
      <patternFill patternType="solid">
        <fgColor rgb="FFFFD400"/>
        <bgColor rgb="FFFFFF00"/>
      </patternFill>
    </fill>
  </fills>
  <borders count="2">
    <border>
      <left/>
      <right/>
      <top/>
      <bottom/>
      <diagonal/>
    </border>
    <border>
      <left style="thin">
        <color rgb="FFD9D6CC"/>
      </left>
      <right style="thin">
        <color rgb="FFD9D6CC"/>
      </right>
      <top style="thin">
        <color rgb="FFD9D6CC"/>
      </top>
      <bottom style="thin">
        <color rgb="FFD9D6CC"/>
      </bottom>
      <diagonal/>
    </border>
  </borders>
  <cellStyleXfs count="1">
    <xf numFmtId="0" fontId="0" fillId="0" borderId="0"/>
  </cellStyleXfs>
  <cellXfs count="24">
    <xf numFmtId="0" fontId="0" fillId="0" borderId="0" xfId="0"/>
    <xf numFmtId="0" fontId="8" fillId="0" borderId="0" xfId="0" applyFont="1"/>
    <xf numFmtId="0" fontId="1" fillId="0" borderId="0" xfId="0" applyFont="1"/>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vertical="top" wrapText="1"/>
    </xf>
    <xf numFmtId="0" fontId="5" fillId="2" borderId="0" xfId="0" applyFont="1" applyFill="1"/>
    <xf numFmtId="0" fontId="5" fillId="0" borderId="0" xfId="0" applyFont="1"/>
    <xf numFmtId="0" fontId="6" fillId="0" borderId="0" xfId="0" applyFont="1"/>
    <xf numFmtId="0" fontId="7" fillId="3" borderId="1" xfId="0" applyFont="1" applyFill="1" applyBorder="1" applyAlignment="1">
      <alignment horizontal="center" vertical="center" wrapText="1"/>
    </xf>
    <xf numFmtId="0" fontId="3" fillId="4" borderId="1" xfId="0" applyFont="1" applyFill="1" applyBorder="1"/>
    <xf numFmtId="0" fontId="6" fillId="0" borderId="1" xfId="0" applyFont="1" applyBorder="1"/>
    <xf numFmtId="164" fontId="3" fillId="4" borderId="1" xfId="0" applyNumberFormat="1" applyFont="1" applyFill="1" applyBorder="1"/>
    <xf numFmtId="0" fontId="3" fillId="0" borderId="1" xfId="0" applyFont="1" applyBorder="1"/>
    <xf numFmtId="164" fontId="3" fillId="0" borderId="1" xfId="0" applyNumberFormat="1" applyFont="1" applyBorder="1"/>
    <xf numFmtId="0" fontId="6" fillId="2" borderId="1" xfId="0" applyFont="1" applyFill="1" applyBorder="1"/>
    <xf numFmtId="164" fontId="6" fillId="2" borderId="1" xfId="0" applyNumberFormat="1" applyFont="1" applyFill="1" applyBorder="1"/>
    <xf numFmtId="0" fontId="4" fillId="5" borderId="0" xfId="0" applyFont="1" applyFill="1"/>
    <xf numFmtId="0" fontId="5" fillId="0" borderId="1" xfId="0" applyFont="1" applyBorder="1"/>
    <xf numFmtId="0" fontId="0" fillId="0" borderId="1" xfId="0" applyBorder="1"/>
    <xf numFmtId="0" fontId="5" fillId="4" borderId="1" xfId="0" applyFont="1" applyFill="1" applyBorder="1"/>
    <xf numFmtId="0" fontId="0" fillId="4" borderId="1" xfId="0" applyFill="1" applyBorder="1"/>
  </cellXfs>
  <cellStyles count="1">
    <cellStyle name="Normal" xfId="0" builtinId="0"/>
  </cellStyles>
  <dxfs count="3">
    <dxf>
      <fill>
        <patternFill>
          <bgColor rgb="FFF5D6CF"/>
        </patternFill>
      </fill>
    </dxf>
    <dxf>
      <fill>
        <patternFill>
          <bgColor rgb="FFFBEBC7"/>
        </patternFill>
      </fill>
    </dxf>
    <dxf>
      <fill>
        <patternFill>
          <bgColor rgb="FFD6EF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6CC"/>
      <rgbColor rgb="FF878787"/>
      <rgbColor rgb="FF9999FF"/>
      <rgbColor rgb="FFBE4B48"/>
      <rgbColor rgb="FFFFF7CC"/>
      <rgbColor rgb="FFF5F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6EFDD"/>
      <rgbColor rgb="FFFBEBC7"/>
      <rgbColor rgb="FF99CCFF"/>
      <rgbColor rgb="FFFF99CC"/>
      <rgbColor rgb="FFCC99FF"/>
      <rgbColor rgb="FFF5D6CF"/>
      <rgbColor rgb="FF4A7EBB"/>
      <rgbColor rgb="FF46AAC4"/>
      <rgbColor rgb="FF98B855"/>
      <rgbColor rgb="FFFFD400"/>
      <rgbColor rgb="FFF59240"/>
      <rgbColor rgb="FFFF6600"/>
      <rgbColor rgb="FF7D5FA0"/>
      <rgbColor rgb="FF8C8570"/>
      <rgbColor rgb="FF003366"/>
      <rgbColor rgb="FF339966"/>
      <rgbColor rgb="FF003300"/>
      <rgbColor rgb="FF5A5346"/>
      <rgbColor rgb="FF993300"/>
      <rgbColor rgb="FF993366"/>
      <rgbColor rgb="FF333399"/>
      <rgbColor rgb="FF1B1B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Breakdowns per month by asset class</a:t>
            </a:r>
          </a:p>
        </c:rich>
      </c:tx>
      <c:overlay val="0"/>
      <c:spPr>
        <a:noFill/>
        <a:ln w="0">
          <a:noFill/>
        </a:ln>
      </c:spPr>
    </c:title>
    <c:autoTitleDeleted val="0"/>
    <c:plotArea>
      <c:layout/>
      <c:lineChart>
        <c:grouping val="standard"/>
        <c:varyColors val="0"/>
        <c:ser>
          <c:idx val="0"/>
          <c:order val="0"/>
          <c:tx>
            <c:strRef>
              <c:f>'Monthly Trend'!$A$27</c:f>
              <c:strCache>
                <c:ptCount val="1"/>
                <c:pt idx="0">
                  <c:v>Crawler Crane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Trend'!$C$27:$N$27</c:f>
              <c:numCache>
                <c:formatCode>General</c:formatCode>
                <c:ptCount val="12"/>
                <c:pt idx="0">
                  <c:v>3</c:v>
                </c:pt>
                <c:pt idx="1">
                  <c:v>2</c:v>
                </c:pt>
                <c:pt idx="2">
                  <c:v>0</c:v>
                </c:pt>
                <c:pt idx="3">
                  <c:v>0</c:v>
                </c:pt>
                <c:pt idx="4">
                  <c:v>0</c:v>
                </c:pt>
                <c:pt idx="5">
                  <c:v>0</c:v>
                </c:pt>
                <c:pt idx="6">
                  <c:v>0</c:v>
                </c:pt>
                <c:pt idx="7">
                  <c:v>1</c:v>
                </c:pt>
                <c:pt idx="8">
                  <c:v>1</c:v>
                </c:pt>
                <c:pt idx="9">
                  <c:v>0</c:v>
                </c:pt>
                <c:pt idx="10">
                  <c:v>1</c:v>
                </c:pt>
                <c:pt idx="11">
                  <c:v>0</c:v>
                </c:pt>
              </c:numCache>
            </c:numRef>
          </c:val>
          <c:smooth val="1"/>
          <c:extLst>
            <c:ext xmlns:c16="http://schemas.microsoft.com/office/drawing/2014/chart" uri="{C3380CC4-5D6E-409C-BE32-E72D297353CC}">
              <c16:uniqueId val="{00000000-C522-4BC4-BB0B-910F9C18621C}"/>
            </c:ext>
          </c:extLst>
        </c:ser>
        <c:ser>
          <c:idx val="1"/>
          <c:order val="1"/>
          <c:tx>
            <c:strRef>
              <c:f>'Monthly Trend'!$A$28</c:f>
              <c:strCache>
                <c:ptCount val="1"/>
                <c:pt idx="0">
                  <c:v>Hydraulic / Mobile Crane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Trend'!$C$28:$N$28</c:f>
              <c:numCache>
                <c:formatCode>General</c:formatCode>
                <c:ptCount val="12"/>
                <c:pt idx="0">
                  <c:v>0</c:v>
                </c:pt>
                <c:pt idx="1">
                  <c:v>0</c:v>
                </c:pt>
                <c:pt idx="2">
                  <c:v>0</c:v>
                </c:pt>
                <c:pt idx="3">
                  <c:v>0</c:v>
                </c:pt>
                <c:pt idx="4">
                  <c:v>0</c:v>
                </c:pt>
                <c:pt idx="5">
                  <c:v>1</c:v>
                </c:pt>
                <c:pt idx="6">
                  <c:v>1</c:v>
                </c:pt>
                <c:pt idx="7">
                  <c:v>1</c:v>
                </c:pt>
                <c:pt idx="8">
                  <c:v>0</c:v>
                </c:pt>
                <c:pt idx="9">
                  <c:v>1</c:v>
                </c:pt>
                <c:pt idx="10">
                  <c:v>1</c:v>
                </c:pt>
                <c:pt idx="11">
                  <c:v>2</c:v>
                </c:pt>
              </c:numCache>
            </c:numRef>
          </c:val>
          <c:smooth val="1"/>
          <c:extLst>
            <c:ext xmlns:c16="http://schemas.microsoft.com/office/drawing/2014/chart" uri="{C3380CC4-5D6E-409C-BE32-E72D297353CC}">
              <c16:uniqueId val="{00000001-C522-4BC4-BB0B-910F9C18621C}"/>
            </c:ext>
          </c:extLst>
        </c:ser>
        <c:ser>
          <c:idx val="2"/>
          <c:order val="2"/>
          <c:tx>
            <c:strRef>
              <c:f>'Monthly Trend'!$A$29</c:f>
              <c:strCache>
                <c:ptCount val="1"/>
                <c:pt idx="0">
                  <c:v>Rough Terrain Crane</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Trend'!$C$29:$N$29</c:f>
              <c:numCache>
                <c:formatCode>General</c:formatCode>
                <c:ptCount val="12"/>
                <c:pt idx="0">
                  <c:v>1</c:v>
                </c:pt>
                <c:pt idx="1">
                  <c:v>0</c:v>
                </c:pt>
                <c:pt idx="2">
                  <c:v>1</c:v>
                </c:pt>
                <c:pt idx="3">
                  <c:v>0</c:v>
                </c:pt>
                <c:pt idx="4">
                  <c:v>1</c:v>
                </c:pt>
                <c:pt idx="5">
                  <c:v>0</c:v>
                </c:pt>
                <c:pt idx="6">
                  <c:v>0</c:v>
                </c:pt>
                <c:pt idx="7">
                  <c:v>1</c:v>
                </c:pt>
                <c:pt idx="8">
                  <c:v>0</c:v>
                </c:pt>
                <c:pt idx="9">
                  <c:v>0</c:v>
                </c:pt>
                <c:pt idx="10">
                  <c:v>0</c:v>
                </c:pt>
                <c:pt idx="11">
                  <c:v>0</c:v>
                </c:pt>
              </c:numCache>
            </c:numRef>
          </c:val>
          <c:smooth val="1"/>
          <c:extLst>
            <c:ext xmlns:c16="http://schemas.microsoft.com/office/drawing/2014/chart" uri="{C3380CC4-5D6E-409C-BE32-E72D297353CC}">
              <c16:uniqueId val="{00000002-C522-4BC4-BB0B-910F9C18621C}"/>
            </c:ext>
          </c:extLst>
        </c:ser>
        <c:ser>
          <c:idx val="3"/>
          <c:order val="3"/>
          <c:tx>
            <c:strRef>
              <c:f>'Monthly Trend'!$A$30</c:f>
              <c:strCache>
                <c:ptCount val="1"/>
                <c:pt idx="0">
                  <c:v>Lorry Crane</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Trend'!$C$30:$N$30</c:f>
              <c:numCache>
                <c:formatCode>General</c:formatCode>
                <c:ptCount val="12"/>
                <c:pt idx="0">
                  <c:v>1</c:v>
                </c:pt>
                <c:pt idx="1">
                  <c:v>0</c:v>
                </c:pt>
                <c:pt idx="2">
                  <c:v>1</c:v>
                </c:pt>
                <c:pt idx="3">
                  <c:v>1</c:v>
                </c:pt>
                <c:pt idx="4">
                  <c:v>0</c:v>
                </c:pt>
                <c:pt idx="5">
                  <c:v>1</c:v>
                </c:pt>
                <c:pt idx="6">
                  <c:v>0</c:v>
                </c:pt>
                <c:pt idx="7">
                  <c:v>1</c:v>
                </c:pt>
                <c:pt idx="8">
                  <c:v>1</c:v>
                </c:pt>
                <c:pt idx="9">
                  <c:v>0</c:v>
                </c:pt>
                <c:pt idx="10">
                  <c:v>0</c:v>
                </c:pt>
                <c:pt idx="11">
                  <c:v>0</c:v>
                </c:pt>
              </c:numCache>
            </c:numRef>
          </c:val>
          <c:smooth val="1"/>
          <c:extLst>
            <c:ext xmlns:c16="http://schemas.microsoft.com/office/drawing/2014/chart" uri="{C3380CC4-5D6E-409C-BE32-E72D297353CC}">
              <c16:uniqueId val="{00000003-C522-4BC4-BB0B-910F9C18621C}"/>
            </c:ext>
          </c:extLst>
        </c:ser>
        <c:ser>
          <c:idx val="4"/>
          <c:order val="4"/>
          <c:tx>
            <c:strRef>
              <c:f>'Monthly Trend'!$A$31</c:f>
              <c:strCache>
                <c:ptCount val="1"/>
                <c:pt idx="0">
                  <c:v>Tower Crane</c:v>
                </c:pt>
              </c:strCache>
            </c:strRef>
          </c:tx>
          <c:spPr>
            <a:ln w="28440">
              <a:solidFill>
                <a:srgbClr val="46AAC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Trend'!$C$31:$N$31</c:f>
              <c:numCache>
                <c:formatCode>General</c:formatCode>
                <c:ptCount val="12"/>
                <c:pt idx="0">
                  <c:v>1</c:v>
                </c:pt>
                <c:pt idx="1">
                  <c:v>0</c:v>
                </c:pt>
                <c:pt idx="2">
                  <c:v>0</c:v>
                </c:pt>
                <c:pt idx="3">
                  <c:v>0</c:v>
                </c:pt>
                <c:pt idx="4">
                  <c:v>0</c:v>
                </c:pt>
                <c:pt idx="5">
                  <c:v>0</c:v>
                </c:pt>
                <c:pt idx="6">
                  <c:v>0</c:v>
                </c:pt>
                <c:pt idx="7">
                  <c:v>1</c:v>
                </c:pt>
                <c:pt idx="8">
                  <c:v>1</c:v>
                </c:pt>
                <c:pt idx="9">
                  <c:v>0</c:v>
                </c:pt>
                <c:pt idx="10">
                  <c:v>0</c:v>
                </c:pt>
                <c:pt idx="11">
                  <c:v>0</c:v>
                </c:pt>
              </c:numCache>
            </c:numRef>
          </c:val>
          <c:smooth val="1"/>
          <c:extLst>
            <c:ext xmlns:c16="http://schemas.microsoft.com/office/drawing/2014/chart" uri="{C3380CC4-5D6E-409C-BE32-E72D297353CC}">
              <c16:uniqueId val="{00000004-C522-4BC4-BB0B-910F9C18621C}"/>
            </c:ext>
          </c:extLst>
        </c:ser>
        <c:ser>
          <c:idx val="5"/>
          <c:order val="5"/>
          <c:tx>
            <c:strRef>
              <c:f>'Monthly Trend'!$A$32</c:f>
              <c:strCache>
                <c:ptCount val="1"/>
                <c:pt idx="0">
                  <c:v>Self-Propelled Modular Trailer</c:v>
                </c:pt>
              </c:strCache>
            </c:strRef>
          </c:tx>
          <c:spPr>
            <a:ln w="28440">
              <a:solidFill>
                <a:srgbClr val="F5924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Trend'!$C$26:$N$26</c:f>
              <c:strCache>
                <c:ptCount val="12"/>
                <c:pt idx="0">
                  <c:v>Aug-2025</c:v>
                </c:pt>
                <c:pt idx="1">
                  <c:v>Sep-2025</c:v>
                </c:pt>
                <c:pt idx="2">
                  <c:v>Oct-2025</c:v>
                </c:pt>
                <c:pt idx="3">
                  <c:v>Nov-2025</c:v>
                </c:pt>
                <c:pt idx="4">
                  <c:v>Dec-2025</c:v>
                </c:pt>
                <c:pt idx="5">
                  <c:v>Jan-2026</c:v>
                </c:pt>
                <c:pt idx="6">
                  <c:v>Feb-2026</c:v>
                </c:pt>
                <c:pt idx="7">
                  <c:v>Mar-2026</c:v>
                </c:pt>
                <c:pt idx="8">
                  <c:v>Apr-2026</c:v>
                </c:pt>
                <c:pt idx="9">
                  <c:v>May-2026</c:v>
                </c:pt>
                <c:pt idx="10">
                  <c:v>Jun-2026</c:v>
                </c:pt>
                <c:pt idx="11">
                  <c:v>Jul-2026</c:v>
                </c:pt>
              </c:strCache>
            </c:strRef>
          </c:cat>
          <c:val>
            <c:numRef>
              <c:f>'Monthly Trend'!$C$32:$N$32</c:f>
              <c:numCache>
                <c:formatCode>General</c:formatCode>
                <c:ptCount val="12"/>
                <c:pt idx="0">
                  <c:v>0</c:v>
                </c:pt>
                <c:pt idx="1">
                  <c:v>1</c:v>
                </c:pt>
                <c:pt idx="2">
                  <c:v>0</c:v>
                </c:pt>
                <c:pt idx="3">
                  <c:v>0</c:v>
                </c:pt>
                <c:pt idx="4">
                  <c:v>0</c:v>
                </c:pt>
                <c:pt idx="5">
                  <c:v>0</c:v>
                </c:pt>
                <c:pt idx="6">
                  <c:v>0</c:v>
                </c:pt>
                <c:pt idx="7">
                  <c:v>1</c:v>
                </c:pt>
                <c:pt idx="8">
                  <c:v>0</c:v>
                </c:pt>
                <c:pt idx="9">
                  <c:v>2</c:v>
                </c:pt>
                <c:pt idx="10">
                  <c:v>0</c:v>
                </c:pt>
                <c:pt idx="11">
                  <c:v>0</c:v>
                </c:pt>
              </c:numCache>
            </c:numRef>
          </c:val>
          <c:smooth val="1"/>
          <c:extLst>
            <c:ext xmlns:c16="http://schemas.microsoft.com/office/drawing/2014/chart" uri="{C3380CC4-5D6E-409C-BE32-E72D297353CC}">
              <c16:uniqueId val="{00000005-C522-4BC4-BB0B-910F9C18621C}"/>
            </c:ext>
          </c:extLst>
        </c:ser>
        <c:dLbls>
          <c:showLegendKey val="0"/>
          <c:showVal val="0"/>
          <c:showCatName val="0"/>
          <c:showSerName val="0"/>
          <c:showPercent val="0"/>
          <c:showBubbleSize val="0"/>
        </c:dLbls>
        <c:hiLowLines>
          <c:spPr>
            <a:ln w="0">
              <a:noFill/>
            </a:ln>
          </c:spPr>
        </c:hiLowLines>
        <c:smooth val="0"/>
        <c:axId val="68353823"/>
        <c:axId val="65653257"/>
      </c:lineChart>
      <c:catAx>
        <c:axId val="6835382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53257"/>
        <c:crosses val="autoZero"/>
        <c:auto val="1"/>
        <c:lblAlgn val="ctr"/>
        <c:lblOffset val="100"/>
        <c:noMultiLvlLbl val="0"/>
      </c:catAx>
      <c:valAx>
        <c:axId val="6565325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Breakdown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3538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34</xdr:row>
      <xdr:rowOff>131040</xdr:rowOff>
    </xdr:from>
    <xdr:to>
      <xdr:col>10</xdr:col>
      <xdr:colOff>604440</xdr:colOff>
      <xdr:row>51</xdr:row>
      <xdr:rowOff>132120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328125" defaultRowHeight="14.5" x14ac:dyDescent="0.35"/>
  <cols>
    <col min="1" max="1" width="4" customWidth="1"/>
    <col min="2" max="2" width="100" customWidth="1"/>
  </cols>
  <sheetData>
    <row r="2" spans="2:2" ht="20" x14ac:dyDescent="0.4">
      <c r="B2" s="3" t="s">
        <v>0</v>
      </c>
    </row>
    <row r="3" spans="2:2" x14ac:dyDescent="0.35">
      <c r="B3" s="4" t="s">
        <v>1</v>
      </c>
    </row>
    <row r="5" spans="2:2" x14ac:dyDescent="0.35">
      <c r="B5" s="5"/>
    </row>
    <row r="6" spans="2:2" x14ac:dyDescent="0.35">
      <c r="B6" s="6" t="s">
        <v>2</v>
      </c>
    </row>
    <row r="7" spans="2:2" ht="30" customHeight="1" x14ac:dyDescent="0.35">
      <c r="B7" s="7" t="s">
        <v>3</v>
      </c>
    </row>
    <row r="8" spans="2:2" x14ac:dyDescent="0.35">
      <c r="B8" s="5"/>
    </row>
    <row r="9" spans="2:2" x14ac:dyDescent="0.35">
      <c r="B9" s="6" t="s">
        <v>4</v>
      </c>
    </row>
    <row r="11" spans="2:2" ht="30" customHeight="1" x14ac:dyDescent="0.35">
      <c r="B11" s="7" t="s">
        <v>5</v>
      </c>
    </row>
    <row r="12" spans="2:2" ht="30" customHeight="1" x14ac:dyDescent="0.35">
      <c r="B12" s="7" t="s">
        <v>6</v>
      </c>
    </row>
    <row r="13" spans="2:2" ht="30" customHeight="1" x14ac:dyDescent="0.35">
      <c r="B13" s="7" t="s">
        <v>7</v>
      </c>
    </row>
    <row r="14" spans="2:2" ht="30" customHeight="1" x14ac:dyDescent="0.35">
      <c r="B14" s="7" t="s">
        <v>8</v>
      </c>
    </row>
    <row r="15" spans="2:2" x14ac:dyDescent="0.35">
      <c r="B15" s="5"/>
    </row>
    <row r="16" spans="2:2" x14ac:dyDescent="0.35">
      <c r="B16" s="6" t="s">
        <v>9</v>
      </c>
    </row>
    <row r="18" spans="2:3" x14ac:dyDescent="0.35">
      <c r="B18" s="8" t="s">
        <v>10</v>
      </c>
      <c r="C18" s="5" t="s">
        <v>11</v>
      </c>
    </row>
    <row r="19" spans="2:3" x14ac:dyDescent="0.35">
      <c r="B19" s="9" t="s">
        <v>12</v>
      </c>
      <c r="C19" s="10" t="s">
        <v>13</v>
      </c>
    </row>
    <row r="20" spans="2:3" x14ac:dyDescent="0.35">
      <c r="B20" s="9" t="s">
        <v>14</v>
      </c>
      <c r="C20" s="5" t="s">
        <v>15</v>
      </c>
    </row>
    <row r="21" spans="2:3" x14ac:dyDescent="0.35">
      <c r="B21" s="5"/>
    </row>
    <row r="22" spans="2:3" x14ac:dyDescent="0.35">
      <c r="B22" s="6" t="s">
        <v>16</v>
      </c>
    </row>
    <row r="23" spans="2:3" ht="30" customHeight="1" x14ac:dyDescent="0.35">
      <c r="B23" s="7" t="s">
        <v>17</v>
      </c>
    </row>
    <row r="24" spans="2:3" x14ac:dyDescent="0.35">
      <c r="B24" s="5"/>
    </row>
    <row r="25" spans="2:3" x14ac:dyDescent="0.35">
      <c r="B25" s="6" t="s">
        <v>18</v>
      </c>
    </row>
    <row r="26" spans="2:3" ht="30" customHeight="1" x14ac:dyDescent="0.35">
      <c r="B26" s="7"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showGridLines="0" zoomScaleNormal="100" workbookViewId="0">
      <pane ySplit="1" topLeftCell="A2" activePane="bottomLeft" state="frozen"/>
      <selection pane="bottomLeft"/>
    </sheetView>
  </sheetViews>
  <sheetFormatPr defaultColWidth="8.6328125" defaultRowHeight="14.5" x14ac:dyDescent="0.35"/>
  <cols>
    <col min="1" max="1" width="10" customWidth="1"/>
    <col min="2" max="2" width="26" customWidth="1"/>
    <col min="3" max="3" width="22" customWidth="1"/>
    <col min="4" max="4" width="12" customWidth="1"/>
    <col min="5" max="5" width="16" customWidth="1"/>
    <col min="6" max="6" width="15" customWidth="1"/>
    <col min="7" max="7" width="14" customWidth="1"/>
    <col min="8" max="8" width="12" customWidth="1"/>
    <col min="9" max="9" width="15" customWidth="1"/>
    <col min="10" max="10" width="24" customWidth="1"/>
  </cols>
  <sheetData>
    <row r="1" spans="1:10" ht="30" customHeight="1" x14ac:dyDescent="0.35">
      <c r="A1" s="11" t="s">
        <v>20</v>
      </c>
      <c r="B1" s="11" t="s">
        <v>21</v>
      </c>
      <c r="C1" s="11" t="s">
        <v>22</v>
      </c>
      <c r="D1" s="11" t="s">
        <v>23</v>
      </c>
      <c r="E1" s="11" t="s">
        <v>24</v>
      </c>
      <c r="F1" s="11" t="s">
        <v>25</v>
      </c>
      <c r="G1" s="11" t="s">
        <v>26</v>
      </c>
      <c r="H1" s="11" t="s">
        <v>27</v>
      </c>
      <c r="I1" s="11" t="s">
        <v>28</v>
      </c>
      <c r="J1" s="11" t="s">
        <v>29</v>
      </c>
    </row>
    <row r="2" spans="1:10" x14ac:dyDescent="0.35">
      <c r="A2" s="12" t="s">
        <v>30</v>
      </c>
      <c r="B2" s="12" t="s">
        <v>31</v>
      </c>
      <c r="C2" s="12" t="s">
        <v>32</v>
      </c>
      <c r="D2" s="12" t="s">
        <v>33</v>
      </c>
      <c r="E2" s="13">
        <v>120</v>
      </c>
      <c r="F2" s="14">
        <f>IFERROR(_xlfn.MAXIFS('Maintenance Log'!$C$3:$C$500,'Maintenance Log'!$B$3:$B$500,A2,'Maintenance Log'!$D$3:$D$500,"Scheduled Service"),"")</f>
        <v>46189</v>
      </c>
      <c r="G2" s="12">
        <f t="shared" ref="G2:G19" ca="1" si="0">IF(F2="","",TODAY()-F2)</f>
        <v>40</v>
      </c>
      <c r="H2" s="12" t="str">
        <f t="shared" ref="H2:H19" ca="1" si="1">IF(G2="","No data",IF(G2&gt;=E2,"Overdue",IF(G2&gt;=E2*0.75,"Due Soon","OK")))</f>
        <v>OK</v>
      </c>
      <c r="I2" s="12">
        <f ca="1">COUNTIFS('Maintenance Log'!$B$3:$B$500,A2,'Maintenance Log'!$D$3:$D$500,"Breakdown",'Maintenance Log'!$C$3:$C$500,"&gt;="&amp;(TODAY()-365))</f>
        <v>1</v>
      </c>
      <c r="J2" s="12"/>
    </row>
    <row r="3" spans="1:10" x14ac:dyDescent="0.35">
      <c r="A3" s="15" t="s">
        <v>34</v>
      </c>
      <c r="B3" s="15" t="s">
        <v>31</v>
      </c>
      <c r="C3" s="15" t="s">
        <v>35</v>
      </c>
      <c r="D3" s="15" t="s">
        <v>33</v>
      </c>
      <c r="E3" s="13">
        <v>120</v>
      </c>
      <c r="F3" s="16">
        <f>IFERROR(_xlfn.MAXIFS('Maintenance Log'!$C$3:$C$500,'Maintenance Log'!$B$3:$B$500,A3,'Maintenance Log'!$D$3:$D$500,"Scheduled Service"),"")</f>
        <v>46131</v>
      </c>
      <c r="G3" s="15">
        <f t="shared" ca="1" si="0"/>
        <v>98</v>
      </c>
      <c r="H3" s="15" t="str">
        <f t="shared" ca="1" si="1"/>
        <v>Due Soon</v>
      </c>
      <c r="I3" s="15">
        <f ca="1">COUNTIFS('Maintenance Log'!$B$3:$B$500,A3,'Maintenance Log'!$D$3:$D$500,"Breakdown",'Maintenance Log'!$C$3:$C$500,"&gt;="&amp;(TODAY()-365))</f>
        <v>3</v>
      </c>
      <c r="J3" s="15"/>
    </row>
    <row r="4" spans="1:10" x14ac:dyDescent="0.35">
      <c r="A4" s="12" t="s">
        <v>36</v>
      </c>
      <c r="B4" s="12" t="s">
        <v>31</v>
      </c>
      <c r="C4" s="12" t="s">
        <v>37</v>
      </c>
      <c r="D4" s="12" t="s">
        <v>33</v>
      </c>
      <c r="E4" s="13">
        <v>120</v>
      </c>
      <c r="F4" s="14">
        <f>IFERROR(_xlfn.MAXIFS('Maintenance Log'!$C$3:$C$500,'Maintenance Log'!$B$3:$B$500,A4,'Maintenance Log'!$D$3:$D$500,"Scheduled Service"),"")</f>
        <v>46098</v>
      </c>
      <c r="G4" s="12">
        <f t="shared" ca="1" si="0"/>
        <v>131</v>
      </c>
      <c r="H4" s="12" t="str">
        <f t="shared" ca="1" si="1"/>
        <v>Overdue</v>
      </c>
      <c r="I4" s="12">
        <f ca="1">COUNTIFS('Maintenance Log'!$B$3:$B$500,A4,'Maintenance Log'!$D$3:$D$500,"Breakdown",'Maintenance Log'!$C$3:$C$500,"&gt;="&amp;(TODAY()-365))</f>
        <v>4</v>
      </c>
      <c r="J4" s="12"/>
    </row>
    <row r="5" spans="1:10" x14ac:dyDescent="0.35">
      <c r="A5" s="15" t="s">
        <v>38</v>
      </c>
      <c r="B5" s="15" t="s">
        <v>39</v>
      </c>
      <c r="C5" s="15" t="s">
        <v>40</v>
      </c>
      <c r="D5" s="15" t="s">
        <v>41</v>
      </c>
      <c r="E5" s="13">
        <v>90</v>
      </c>
      <c r="F5" s="16">
        <f>IFERROR(_xlfn.MAXIFS('Maintenance Log'!$C$3:$C$500,'Maintenance Log'!$B$3:$B$500,A5,'Maintenance Log'!$D$3:$D$500,"Scheduled Service"),"")</f>
        <v>46207</v>
      </c>
      <c r="G5" s="15">
        <f t="shared" ca="1" si="0"/>
        <v>22</v>
      </c>
      <c r="H5" s="15" t="str">
        <f t="shared" ca="1" si="1"/>
        <v>OK</v>
      </c>
      <c r="I5" s="15">
        <f ca="1">COUNTIFS('Maintenance Log'!$B$3:$B$500,A5,'Maintenance Log'!$D$3:$D$500,"Breakdown",'Maintenance Log'!$C$3:$C$500,"&gt;="&amp;(TODAY()-365))</f>
        <v>0</v>
      </c>
      <c r="J5" s="15"/>
    </row>
    <row r="6" spans="1:10" x14ac:dyDescent="0.35">
      <c r="A6" s="12" t="s">
        <v>42</v>
      </c>
      <c r="B6" s="12" t="s">
        <v>39</v>
      </c>
      <c r="C6" s="12" t="s">
        <v>43</v>
      </c>
      <c r="D6" s="12" t="s">
        <v>41</v>
      </c>
      <c r="E6" s="13">
        <v>90</v>
      </c>
      <c r="F6" s="14">
        <f>IFERROR(_xlfn.MAXIFS('Maintenance Log'!$C$3:$C$500,'Maintenance Log'!$B$3:$B$500,A6,'Maintenance Log'!$D$3:$D$500,"Scheduled Service"),"")</f>
        <v>46158</v>
      </c>
      <c r="G6" s="12">
        <f t="shared" ca="1" si="0"/>
        <v>71</v>
      </c>
      <c r="H6" s="12" t="str">
        <f t="shared" ca="1" si="1"/>
        <v>Due Soon</v>
      </c>
      <c r="I6" s="12">
        <f ca="1">COUNTIFS('Maintenance Log'!$B$3:$B$500,A6,'Maintenance Log'!$D$3:$D$500,"Breakdown",'Maintenance Log'!$C$3:$C$500,"&gt;="&amp;(TODAY()-365))</f>
        <v>2</v>
      </c>
      <c r="J6" s="12"/>
    </row>
    <row r="7" spans="1:10" x14ac:dyDescent="0.35">
      <c r="A7" s="15" t="s">
        <v>44</v>
      </c>
      <c r="B7" s="15" t="s">
        <v>39</v>
      </c>
      <c r="C7" s="15" t="s">
        <v>45</v>
      </c>
      <c r="D7" s="15" t="s">
        <v>41</v>
      </c>
      <c r="E7" s="13">
        <v>90</v>
      </c>
      <c r="F7" s="16">
        <f>IFERROR(_xlfn.MAXIFS('Maintenance Log'!$C$3:$C$500,'Maintenance Log'!$B$3:$B$500,A7,'Maintenance Log'!$D$3:$D$500,"Scheduled Service"),"")</f>
        <v>46134</v>
      </c>
      <c r="G7" s="15">
        <f t="shared" ca="1" si="0"/>
        <v>95</v>
      </c>
      <c r="H7" s="15" t="str">
        <f t="shared" ca="1" si="1"/>
        <v>Overdue</v>
      </c>
      <c r="I7" s="15">
        <f ca="1">COUNTIFS('Maintenance Log'!$B$3:$B$500,A7,'Maintenance Log'!$D$3:$D$500,"Breakdown",'Maintenance Log'!$C$3:$C$500,"&gt;="&amp;(TODAY()-365))</f>
        <v>5</v>
      </c>
      <c r="J7" s="15"/>
    </row>
    <row r="8" spans="1:10" x14ac:dyDescent="0.35">
      <c r="A8" s="12" t="s">
        <v>46</v>
      </c>
      <c r="B8" s="12" t="s">
        <v>47</v>
      </c>
      <c r="C8" s="12" t="s">
        <v>48</v>
      </c>
      <c r="D8" s="12" t="s">
        <v>41</v>
      </c>
      <c r="E8" s="13">
        <v>90</v>
      </c>
      <c r="F8" s="14">
        <f>IFERROR(_xlfn.MAXIFS('Maintenance Log'!$C$3:$C$500,'Maintenance Log'!$B$3:$B$500,A8,'Maintenance Log'!$D$3:$D$500,"Scheduled Service"),"")</f>
        <v>46214</v>
      </c>
      <c r="G8" s="12">
        <f t="shared" ca="1" si="0"/>
        <v>15</v>
      </c>
      <c r="H8" s="12" t="str">
        <f t="shared" ca="1" si="1"/>
        <v>OK</v>
      </c>
      <c r="I8" s="12">
        <f ca="1">COUNTIFS('Maintenance Log'!$B$3:$B$500,A8,'Maintenance Log'!$D$3:$D$500,"Breakdown",'Maintenance Log'!$C$3:$C$500,"&gt;="&amp;(TODAY()-365))</f>
        <v>0</v>
      </c>
      <c r="J8" s="12"/>
    </row>
    <row r="9" spans="1:10" x14ac:dyDescent="0.35">
      <c r="A9" s="15" t="s">
        <v>49</v>
      </c>
      <c r="B9" s="15" t="s">
        <v>47</v>
      </c>
      <c r="C9" s="15" t="s">
        <v>50</v>
      </c>
      <c r="D9" s="15" t="s">
        <v>41</v>
      </c>
      <c r="E9" s="13">
        <v>90</v>
      </c>
      <c r="F9" s="16">
        <f>IFERROR(_xlfn.MAXIFS('Maintenance Log'!$C$3:$C$500,'Maintenance Log'!$B$3:$B$500,A9,'Maintenance Log'!$D$3:$D$500,"Scheduled Service"),"")</f>
        <v>46161</v>
      </c>
      <c r="G9" s="15">
        <f t="shared" ca="1" si="0"/>
        <v>68</v>
      </c>
      <c r="H9" s="15" t="str">
        <f t="shared" ca="1" si="1"/>
        <v>Due Soon</v>
      </c>
      <c r="I9" s="15">
        <f ca="1">COUNTIFS('Maintenance Log'!$B$3:$B$500,A9,'Maintenance Log'!$D$3:$D$500,"Breakdown",'Maintenance Log'!$C$3:$C$500,"&gt;="&amp;(TODAY()-365))</f>
        <v>1</v>
      </c>
      <c r="J9" s="15"/>
    </row>
    <row r="10" spans="1:10" x14ac:dyDescent="0.35">
      <c r="A10" s="12" t="s">
        <v>51</v>
      </c>
      <c r="B10" s="12" t="s">
        <v>47</v>
      </c>
      <c r="C10" s="12" t="s">
        <v>52</v>
      </c>
      <c r="D10" s="12" t="s">
        <v>41</v>
      </c>
      <c r="E10" s="13">
        <v>90</v>
      </c>
      <c r="F10" s="14">
        <f>IFERROR(_xlfn.MAXIFS('Maintenance Log'!$C$3:$C$500,'Maintenance Log'!$B$3:$B$500,A10,'Maintenance Log'!$D$3:$D$500,"Scheduled Service"),"")</f>
        <v>46139</v>
      </c>
      <c r="G10" s="12">
        <f t="shared" ca="1" si="0"/>
        <v>90</v>
      </c>
      <c r="H10" s="12" t="str">
        <f t="shared" ca="1" si="1"/>
        <v>Overdue</v>
      </c>
      <c r="I10" s="12">
        <f ca="1">COUNTIFS('Maintenance Log'!$B$3:$B$500,A10,'Maintenance Log'!$D$3:$D$500,"Breakdown",'Maintenance Log'!$C$3:$C$500,"&gt;="&amp;(TODAY()-365))</f>
        <v>3</v>
      </c>
      <c r="J10" s="12"/>
    </row>
    <row r="11" spans="1:10" x14ac:dyDescent="0.35">
      <c r="A11" s="15" t="s">
        <v>53</v>
      </c>
      <c r="B11" s="15" t="s">
        <v>54</v>
      </c>
      <c r="C11" s="15" t="s">
        <v>55</v>
      </c>
      <c r="D11" s="15" t="s">
        <v>41</v>
      </c>
      <c r="E11" s="13">
        <v>60</v>
      </c>
      <c r="F11" s="16">
        <f>IFERROR(_xlfn.MAXIFS('Maintenance Log'!$C$3:$C$500,'Maintenance Log'!$B$3:$B$500,A11,'Maintenance Log'!$D$3:$D$500,"Scheduled Service"),"")</f>
        <v>46217</v>
      </c>
      <c r="G11" s="15">
        <f t="shared" ca="1" si="0"/>
        <v>12</v>
      </c>
      <c r="H11" s="15" t="str">
        <f t="shared" ca="1" si="1"/>
        <v>OK</v>
      </c>
      <c r="I11" s="15">
        <f ca="1">COUNTIFS('Maintenance Log'!$B$3:$B$500,A11,'Maintenance Log'!$D$3:$D$500,"Breakdown",'Maintenance Log'!$C$3:$C$500,"&gt;="&amp;(TODAY()-365))</f>
        <v>0</v>
      </c>
      <c r="J11" s="15"/>
    </row>
    <row r="12" spans="1:10" x14ac:dyDescent="0.35">
      <c r="A12" s="12" t="s">
        <v>56</v>
      </c>
      <c r="B12" s="12" t="s">
        <v>54</v>
      </c>
      <c r="C12" s="12" t="s">
        <v>57</v>
      </c>
      <c r="D12" s="12" t="s">
        <v>41</v>
      </c>
      <c r="E12" s="13">
        <v>60</v>
      </c>
      <c r="F12" s="14">
        <f>IFERROR(_xlfn.MAXIFS('Maintenance Log'!$C$3:$C$500,'Maintenance Log'!$B$3:$B$500,A12,'Maintenance Log'!$D$3:$D$500,"Scheduled Service"),"")</f>
        <v>46181</v>
      </c>
      <c r="G12" s="12">
        <f t="shared" ca="1" si="0"/>
        <v>48</v>
      </c>
      <c r="H12" s="12" t="str">
        <f t="shared" ca="1" si="1"/>
        <v>Due Soon</v>
      </c>
      <c r="I12" s="12">
        <f ca="1">COUNTIFS('Maintenance Log'!$B$3:$B$500,A12,'Maintenance Log'!$D$3:$D$500,"Breakdown",'Maintenance Log'!$C$3:$C$500,"&gt;="&amp;(TODAY()-365))</f>
        <v>2</v>
      </c>
      <c r="J12" s="12"/>
    </row>
    <row r="13" spans="1:10" x14ac:dyDescent="0.35">
      <c r="A13" s="15" t="s">
        <v>58</v>
      </c>
      <c r="B13" s="15" t="s">
        <v>54</v>
      </c>
      <c r="C13" s="15" t="s">
        <v>59</v>
      </c>
      <c r="D13" s="15" t="s">
        <v>41</v>
      </c>
      <c r="E13" s="13">
        <v>60</v>
      </c>
      <c r="F13" s="16">
        <f>IFERROR(_xlfn.MAXIFS('Maintenance Log'!$C$3:$C$500,'Maintenance Log'!$B$3:$B$500,A13,'Maintenance Log'!$D$3:$D$500,"Scheduled Service"),"")</f>
        <v>46163</v>
      </c>
      <c r="G13" s="15">
        <f t="shared" ca="1" si="0"/>
        <v>66</v>
      </c>
      <c r="H13" s="15" t="str">
        <f t="shared" ca="1" si="1"/>
        <v>Overdue</v>
      </c>
      <c r="I13" s="15">
        <f ca="1">COUNTIFS('Maintenance Log'!$B$3:$B$500,A13,'Maintenance Log'!$D$3:$D$500,"Breakdown",'Maintenance Log'!$C$3:$C$500,"&gt;="&amp;(TODAY()-365))</f>
        <v>4</v>
      </c>
      <c r="J13" s="15"/>
    </row>
    <row r="14" spans="1:10" x14ac:dyDescent="0.35">
      <c r="A14" s="12" t="s">
        <v>60</v>
      </c>
      <c r="B14" s="12" t="s">
        <v>61</v>
      </c>
      <c r="C14" s="12" t="s">
        <v>62</v>
      </c>
      <c r="D14" s="12" t="s">
        <v>63</v>
      </c>
      <c r="E14" s="13">
        <v>180</v>
      </c>
      <c r="F14" s="14">
        <f>IFERROR(_xlfn.MAXIFS('Maintenance Log'!$C$3:$C$500,'Maintenance Log'!$B$3:$B$500,A14,'Maintenance Log'!$D$3:$D$500,"Scheduled Service"),"")</f>
        <v>46174</v>
      </c>
      <c r="G14" s="12">
        <f t="shared" ca="1" si="0"/>
        <v>55</v>
      </c>
      <c r="H14" s="12" t="str">
        <f t="shared" ca="1" si="1"/>
        <v>OK</v>
      </c>
      <c r="I14" s="12">
        <f ca="1">COUNTIFS('Maintenance Log'!$B$3:$B$500,A14,'Maintenance Log'!$D$3:$D$500,"Breakdown",'Maintenance Log'!$C$3:$C$500,"&gt;="&amp;(TODAY()-365))</f>
        <v>0</v>
      </c>
      <c r="J14" s="12"/>
    </row>
    <row r="15" spans="1:10" x14ac:dyDescent="0.35">
      <c r="A15" s="15" t="s">
        <v>64</v>
      </c>
      <c r="B15" s="15" t="s">
        <v>61</v>
      </c>
      <c r="C15" s="15" t="s">
        <v>65</v>
      </c>
      <c r="D15" s="15" t="s">
        <v>63</v>
      </c>
      <c r="E15" s="13">
        <v>180</v>
      </c>
      <c r="F15" s="16">
        <f>IFERROR(_xlfn.MAXIFS('Maintenance Log'!$C$3:$C$500,'Maintenance Log'!$B$3:$B$500,A15,'Maintenance Log'!$D$3:$D$500,"Scheduled Service"),"")</f>
        <v>46079</v>
      </c>
      <c r="G15" s="15">
        <f t="shared" ca="1" si="0"/>
        <v>150</v>
      </c>
      <c r="H15" s="15" t="str">
        <f t="shared" ca="1" si="1"/>
        <v>Due Soon</v>
      </c>
      <c r="I15" s="15">
        <f ca="1">COUNTIFS('Maintenance Log'!$B$3:$B$500,A15,'Maintenance Log'!$D$3:$D$500,"Breakdown",'Maintenance Log'!$C$3:$C$500,"&gt;="&amp;(TODAY()-365))</f>
        <v>1</v>
      </c>
      <c r="J15" s="15"/>
    </row>
    <row r="16" spans="1:10" x14ac:dyDescent="0.35">
      <c r="A16" s="12" t="s">
        <v>66</v>
      </c>
      <c r="B16" s="12" t="s">
        <v>61</v>
      </c>
      <c r="C16" s="12" t="s">
        <v>67</v>
      </c>
      <c r="D16" s="12" t="s">
        <v>63</v>
      </c>
      <c r="E16" s="13">
        <v>180</v>
      </c>
      <c r="F16" s="14">
        <f>IFERROR(_xlfn.MAXIFS('Maintenance Log'!$C$3:$C$500,'Maintenance Log'!$B$3:$B$500,A16,'Maintenance Log'!$D$3:$D$500,"Scheduled Service"),"")</f>
        <v>46039</v>
      </c>
      <c r="G16" s="12">
        <f t="shared" ca="1" si="0"/>
        <v>190</v>
      </c>
      <c r="H16" s="12" t="str">
        <f t="shared" ca="1" si="1"/>
        <v>Overdue</v>
      </c>
      <c r="I16" s="12">
        <f ca="1">COUNTIFS('Maintenance Log'!$B$3:$B$500,A16,'Maintenance Log'!$D$3:$D$500,"Breakdown",'Maintenance Log'!$C$3:$C$500,"&gt;="&amp;(TODAY()-365))</f>
        <v>2</v>
      </c>
      <c r="J16" s="12"/>
    </row>
    <row r="17" spans="1:10" x14ac:dyDescent="0.35">
      <c r="A17" s="15" t="s">
        <v>68</v>
      </c>
      <c r="B17" s="15" t="s">
        <v>69</v>
      </c>
      <c r="C17" s="15" t="s">
        <v>70</v>
      </c>
      <c r="D17" s="15" t="s">
        <v>71</v>
      </c>
      <c r="E17" s="13">
        <v>45</v>
      </c>
      <c r="F17" s="16">
        <f>IFERROR(_xlfn.MAXIFS('Maintenance Log'!$C$3:$C$500,'Maintenance Log'!$B$3:$B$500,A17,'Maintenance Log'!$D$3:$D$500,"Scheduled Service"),"")</f>
        <v>46219</v>
      </c>
      <c r="G17" s="15">
        <f t="shared" ca="1" si="0"/>
        <v>10</v>
      </c>
      <c r="H17" s="15" t="str">
        <f t="shared" ca="1" si="1"/>
        <v>OK</v>
      </c>
      <c r="I17" s="15">
        <f ca="1">COUNTIFS('Maintenance Log'!$B$3:$B$500,A17,'Maintenance Log'!$D$3:$D$500,"Breakdown",'Maintenance Log'!$C$3:$C$500,"&gt;="&amp;(TODAY()-365))</f>
        <v>0</v>
      </c>
      <c r="J17" s="15"/>
    </row>
    <row r="18" spans="1:10" x14ac:dyDescent="0.35">
      <c r="A18" s="12" t="s">
        <v>72</v>
      </c>
      <c r="B18" s="12" t="s">
        <v>69</v>
      </c>
      <c r="C18" s="12" t="s">
        <v>73</v>
      </c>
      <c r="D18" s="12" t="s">
        <v>71</v>
      </c>
      <c r="E18" s="13">
        <v>45</v>
      </c>
      <c r="F18" s="14">
        <f>IFERROR(_xlfn.MAXIFS('Maintenance Log'!$C$3:$C$500,'Maintenance Log'!$B$3:$B$500,A18,'Maintenance Log'!$D$3:$D$500,"Scheduled Service"),"")</f>
        <v>46193</v>
      </c>
      <c r="G18" s="12">
        <f t="shared" ca="1" si="0"/>
        <v>36</v>
      </c>
      <c r="H18" s="12" t="str">
        <f t="shared" ca="1" si="1"/>
        <v>Due Soon</v>
      </c>
      <c r="I18" s="12">
        <f ca="1">COUNTIFS('Maintenance Log'!$B$3:$B$500,A18,'Maintenance Log'!$D$3:$D$500,"Breakdown",'Maintenance Log'!$C$3:$C$500,"&gt;="&amp;(TODAY()-365))</f>
        <v>1</v>
      </c>
      <c r="J18" s="12"/>
    </row>
    <row r="19" spans="1:10" x14ac:dyDescent="0.35">
      <c r="A19" s="15" t="s">
        <v>74</v>
      </c>
      <c r="B19" s="15" t="s">
        <v>69</v>
      </c>
      <c r="C19" s="15" t="s">
        <v>75</v>
      </c>
      <c r="D19" s="15" t="s">
        <v>71</v>
      </c>
      <c r="E19" s="13">
        <v>45</v>
      </c>
      <c r="F19" s="16">
        <f>IFERROR(_xlfn.MAXIFS('Maintenance Log'!$C$3:$C$500,'Maintenance Log'!$B$3:$B$500,A19,'Maintenance Log'!$D$3:$D$500,"Scheduled Service"),"")</f>
        <v>46179</v>
      </c>
      <c r="G19" s="15">
        <f t="shared" ca="1" si="0"/>
        <v>50</v>
      </c>
      <c r="H19" s="15" t="str">
        <f t="shared" ca="1" si="1"/>
        <v>Overdue</v>
      </c>
      <c r="I19" s="15">
        <f ca="1">COUNTIFS('Maintenance Log'!$B$3:$B$500,A19,'Maintenance Log'!$D$3:$D$500,"Breakdown",'Maintenance Log'!$C$3:$C$500,"&gt;="&amp;(TODAY()-365))</f>
        <v>3</v>
      </c>
      <c r="J19" s="15"/>
    </row>
  </sheetData>
  <conditionalFormatting sqref="H2:H19">
    <cfRule type="cellIs" dxfId="2" priority="2" operator="equal">
      <formula>"OK"</formula>
    </cfRule>
    <cfRule type="cellIs" dxfId="1" priority="3" operator="equal">
      <formula>"Due Soon"</formula>
    </cfRule>
    <cfRule type="cellIs" dxfId="0" priority="4" operator="equal">
      <formula>"Overdue"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showGridLines="0" zoomScaleNormal="100" workbookViewId="0">
      <pane ySplit="3" topLeftCell="A4" activePane="bottomLeft" state="frozen"/>
      <selection pane="bottomLeft"/>
    </sheetView>
  </sheetViews>
  <sheetFormatPr defaultColWidth="8.6328125" defaultRowHeight="14.5" x14ac:dyDescent="0.35"/>
  <cols>
    <col min="1" max="1" width="12" customWidth="1"/>
    <col min="2" max="2" width="10" customWidth="1"/>
    <col min="3" max="3" width="14" customWidth="1"/>
    <col min="4" max="4" width="18" customWidth="1"/>
    <col min="5" max="5" width="32" customWidth="1"/>
    <col min="6" max="6" width="14" customWidth="1"/>
    <col min="7" max="7" width="26" customWidth="1"/>
    <col min="8" max="8" width="22" customWidth="1"/>
  </cols>
  <sheetData>
    <row r="1" spans="1:8" ht="20" x14ac:dyDescent="0.4">
      <c r="A1" s="2" t="s">
        <v>76</v>
      </c>
      <c r="B1" s="2"/>
      <c r="C1" s="2"/>
      <c r="D1" s="2"/>
      <c r="E1" s="2"/>
      <c r="F1" s="2"/>
      <c r="G1" s="2"/>
      <c r="H1" s="2"/>
    </row>
    <row r="2" spans="1:8" x14ac:dyDescent="0.35">
      <c r="A2" s="1" t="s">
        <v>77</v>
      </c>
      <c r="B2" s="1"/>
      <c r="C2" s="1"/>
      <c r="D2" s="1"/>
      <c r="E2" s="1"/>
      <c r="F2" s="1"/>
      <c r="G2" s="1"/>
      <c r="H2" s="1"/>
    </row>
    <row r="3" spans="1:8" ht="21.75" customHeight="1" x14ac:dyDescent="0.35">
      <c r="A3" s="11" t="s">
        <v>78</v>
      </c>
      <c r="B3" s="11" t="s">
        <v>20</v>
      </c>
      <c r="C3" s="11" t="s">
        <v>79</v>
      </c>
      <c r="D3" s="11" t="s">
        <v>80</v>
      </c>
      <c r="E3" s="11" t="s">
        <v>81</v>
      </c>
      <c r="F3" s="11" t="s">
        <v>82</v>
      </c>
      <c r="G3" s="11" t="s">
        <v>83</v>
      </c>
      <c r="H3" s="11" t="s">
        <v>29</v>
      </c>
    </row>
    <row r="4" spans="1:8" x14ac:dyDescent="0.35">
      <c r="A4" s="17" t="s">
        <v>84</v>
      </c>
      <c r="B4" s="17" t="s">
        <v>30</v>
      </c>
      <c r="C4" s="18">
        <v>46189</v>
      </c>
      <c r="D4" s="17" t="s">
        <v>85</v>
      </c>
      <c r="E4" s="17" t="s">
        <v>86</v>
      </c>
      <c r="F4" s="17">
        <v>8</v>
      </c>
      <c r="G4" s="17" t="s">
        <v>87</v>
      </c>
      <c r="H4" s="17"/>
    </row>
    <row r="5" spans="1:8" x14ac:dyDescent="0.35">
      <c r="A5" s="17" t="s">
        <v>88</v>
      </c>
      <c r="B5" s="17" t="s">
        <v>30</v>
      </c>
      <c r="C5" s="18">
        <v>45899</v>
      </c>
      <c r="D5" s="17" t="s">
        <v>89</v>
      </c>
      <c r="E5" s="17" t="s">
        <v>90</v>
      </c>
      <c r="F5" s="17">
        <v>16</v>
      </c>
      <c r="G5" s="17" t="s">
        <v>87</v>
      </c>
      <c r="H5" s="17"/>
    </row>
    <row r="6" spans="1:8" x14ac:dyDescent="0.35">
      <c r="A6" s="17" t="s">
        <v>91</v>
      </c>
      <c r="B6" s="17" t="s">
        <v>34</v>
      </c>
      <c r="C6" s="18">
        <v>46131</v>
      </c>
      <c r="D6" s="17" t="s">
        <v>85</v>
      </c>
      <c r="E6" s="17" t="s">
        <v>86</v>
      </c>
      <c r="F6" s="17">
        <v>8</v>
      </c>
      <c r="G6" s="17" t="s">
        <v>87</v>
      </c>
      <c r="H6" s="17"/>
    </row>
    <row r="7" spans="1:8" x14ac:dyDescent="0.35">
      <c r="A7" s="17" t="s">
        <v>92</v>
      </c>
      <c r="B7" s="17" t="s">
        <v>34</v>
      </c>
      <c r="C7" s="18">
        <v>46101</v>
      </c>
      <c r="D7" s="17" t="s">
        <v>89</v>
      </c>
      <c r="E7" s="17" t="s">
        <v>93</v>
      </c>
      <c r="F7" s="17">
        <v>6</v>
      </c>
      <c r="G7" s="17" t="s">
        <v>94</v>
      </c>
      <c r="H7" s="17"/>
    </row>
    <row r="8" spans="1:8" x14ac:dyDescent="0.35">
      <c r="A8" s="17" t="s">
        <v>95</v>
      </c>
      <c r="B8" s="17" t="s">
        <v>34</v>
      </c>
      <c r="C8" s="18">
        <v>45880</v>
      </c>
      <c r="D8" s="17" t="s">
        <v>89</v>
      </c>
      <c r="E8" s="17" t="s">
        <v>96</v>
      </c>
      <c r="F8" s="17">
        <v>6</v>
      </c>
      <c r="G8" s="17" t="s">
        <v>97</v>
      </c>
      <c r="H8" s="17"/>
    </row>
    <row r="9" spans="1:8" x14ac:dyDescent="0.35">
      <c r="A9" s="17" t="s">
        <v>98</v>
      </c>
      <c r="B9" s="17" t="s">
        <v>34</v>
      </c>
      <c r="C9" s="18">
        <v>45924</v>
      </c>
      <c r="D9" s="17" t="s">
        <v>89</v>
      </c>
      <c r="E9" s="17" t="s">
        <v>99</v>
      </c>
      <c r="F9" s="17">
        <v>4</v>
      </c>
      <c r="G9" s="17" t="s">
        <v>87</v>
      </c>
      <c r="H9" s="17"/>
    </row>
    <row r="10" spans="1:8" x14ac:dyDescent="0.35">
      <c r="A10" s="17" t="s">
        <v>100</v>
      </c>
      <c r="B10" s="17" t="s">
        <v>36</v>
      </c>
      <c r="C10" s="18">
        <v>46098</v>
      </c>
      <c r="D10" s="17" t="s">
        <v>85</v>
      </c>
      <c r="E10" s="17" t="s">
        <v>86</v>
      </c>
      <c r="F10" s="17">
        <v>8</v>
      </c>
      <c r="G10" s="17" t="s">
        <v>87</v>
      </c>
      <c r="H10" s="17"/>
    </row>
    <row r="11" spans="1:8" x14ac:dyDescent="0.35">
      <c r="A11" s="17" t="s">
        <v>101</v>
      </c>
      <c r="B11" s="17" t="s">
        <v>36</v>
      </c>
      <c r="C11" s="18">
        <v>46179</v>
      </c>
      <c r="D11" s="17" t="s">
        <v>89</v>
      </c>
      <c r="E11" s="17" t="s">
        <v>93</v>
      </c>
      <c r="F11" s="17">
        <v>72</v>
      </c>
      <c r="G11" s="17" t="s">
        <v>94</v>
      </c>
      <c r="H11" s="17"/>
    </row>
    <row r="12" spans="1:8" x14ac:dyDescent="0.35">
      <c r="A12" s="17" t="s">
        <v>102</v>
      </c>
      <c r="B12" s="17" t="s">
        <v>36</v>
      </c>
      <c r="C12" s="18">
        <v>45918</v>
      </c>
      <c r="D12" s="17" t="s">
        <v>89</v>
      </c>
      <c r="E12" s="17" t="s">
        <v>103</v>
      </c>
      <c r="F12" s="17">
        <v>12</v>
      </c>
      <c r="G12" s="17" t="s">
        <v>97</v>
      </c>
      <c r="H12" s="17"/>
    </row>
    <row r="13" spans="1:8" x14ac:dyDescent="0.35">
      <c r="A13" s="17" t="s">
        <v>104</v>
      </c>
      <c r="B13" s="17" t="s">
        <v>36</v>
      </c>
      <c r="C13" s="18">
        <v>45894</v>
      </c>
      <c r="D13" s="17" t="s">
        <v>89</v>
      </c>
      <c r="E13" s="17" t="s">
        <v>96</v>
      </c>
      <c r="F13" s="17">
        <v>36</v>
      </c>
      <c r="G13" s="17" t="s">
        <v>97</v>
      </c>
      <c r="H13" s="17"/>
    </row>
    <row r="14" spans="1:8" x14ac:dyDescent="0.35">
      <c r="A14" s="17" t="s">
        <v>105</v>
      </c>
      <c r="B14" s="17" t="s">
        <v>36</v>
      </c>
      <c r="C14" s="18">
        <v>46114</v>
      </c>
      <c r="D14" s="17" t="s">
        <v>89</v>
      </c>
      <c r="E14" s="17" t="s">
        <v>106</v>
      </c>
      <c r="F14" s="17">
        <v>16</v>
      </c>
      <c r="G14" s="17" t="s">
        <v>97</v>
      </c>
      <c r="H14" s="17"/>
    </row>
    <row r="15" spans="1:8" x14ac:dyDescent="0.35">
      <c r="A15" s="17" t="s">
        <v>107</v>
      </c>
      <c r="B15" s="17" t="s">
        <v>38</v>
      </c>
      <c r="C15" s="18">
        <v>46207</v>
      </c>
      <c r="D15" s="17" t="s">
        <v>85</v>
      </c>
      <c r="E15" s="17" t="s">
        <v>86</v>
      </c>
      <c r="F15" s="17">
        <v>8</v>
      </c>
      <c r="G15" s="17" t="s">
        <v>87</v>
      </c>
      <c r="H15" s="17"/>
    </row>
    <row r="16" spans="1:8" x14ac:dyDescent="0.35">
      <c r="A16" s="17" t="s">
        <v>108</v>
      </c>
      <c r="B16" s="17" t="s">
        <v>42</v>
      </c>
      <c r="C16" s="18">
        <v>46158</v>
      </c>
      <c r="D16" s="17" t="s">
        <v>85</v>
      </c>
      <c r="E16" s="17" t="s">
        <v>86</v>
      </c>
      <c r="F16" s="17">
        <v>8</v>
      </c>
      <c r="G16" s="17" t="s">
        <v>87</v>
      </c>
      <c r="H16" s="17"/>
    </row>
    <row r="17" spans="1:8" x14ac:dyDescent="0.35">
      <c r="A17" s="17" t="s">
        <v>109</v>
      </c>
      <c r="B17" s="17" t="s">
        <v>42</v>
      </c>
      <c r="C17" s="18">
        <v>46223</v>
      </c>
      <c r="D17" s="17" t="s">
        <v>89</v>
      </c>
      <c r="E17" s="17" t="s">
        <v>110</v>
      </c>
      <c r="F17" s="17">
        <v>24</v>
      </c>
      <c r="G17" s="17" t="s">
        <v>111</v>
      </c>
      <c r="H17" s="17"/>
    </row>
    <row r="18" spans="1:8" x14ac:dyDescent="0.35">
      <c r="A18" s="17" t="s">
        <v>112</v>
      </c>
      <c r="B18" s="17" t="s">
        <v>42</v>
      </c>
      <c r="C18" s="18">
        <v>46084</v>
      </c>
      <c r="D18" s="17" t="s">
        <v>89</v>
      </c>
      <c r="E18" s="17" t="s">
        <v>110</v>
      </c>
      <c r="F18" s="17">
        <v>24</v>
      </c>
      <c r="G18" s="17" t="s">
        <v>94</v>
      </c>
      <c r="H18" s="17"/>
    </row>
    <row r="19" spans="1:8" x14ac:dyDescent="0.35">
      <c r="A19" s="17" t="s">
        <v>113</v>
      </c>
      <c r="B19" s="17" t="s">
        <v>44</v>
      </c>
      <c r="C19" s="18">
        <v>46134</v>
      </c>
      <c r="D19" s="17" t="s">
        <v>85</v>
      </c>
      <c r="E19" s="17" t="s">
        <v>86</v>
      </c>
      <c r="F19" s="17">
        <v>8</v>
      </c>
      <c r="G19" s="17" t="s">
        <v>87</v>
      </c>
      <c r="H19" s="17"/>
    </row>
    <row r="20" spans="1:8" x14ac:dyDescent="0.35">
      <c r="A20" s="17" t="s">
        <v>114</v>
      </c>
      <c r="B20" s="17" t="s">
        <v>44</v>
      </c>
      <c r="C20" s="18">
        <v>46174</v>
      </c>
      <c r="D20" s="17" t="s">
        <v>89</v>
      </c>
      <c r="E20" s="17" t="s">
        <v>90</v>
      </c>
      <c r="F20" s="17">
        <v>6</v>
      </c>
      <c r="G20" s="17" t="s">
        <v>111</v>
      </c>
      <c r="H20" s="17"/>
    </row>
    <row r="21" spans="1:8" x14ac:dyDescent="0.35">
      <c r="A21" s="17" t="s">
        <v>115</v>
      </c>
      <c r="B21" s="17" t="s">
        <v>44</v>
      </c>
      <c r="C21" s="18">
        <v>46043</v>
      </c>
      <c r="D21" s="17" t="s">
        <v>89</v>
      </c>
      <c r="E21" s="17" t="s">
        <v>116</v>
      </c>
      <c r="F21" s="17">
        <v>16</v>
      </c>
      <c r="G21" s="17" t="s">
        <v>97</v>
      </c>
      <c r="H21" s="17"/>
    </row>
    <row r="22" spans="1:8" x14ac:dyDescent="0.35">
      <c r="A22" s="17" t="s">
        <v>117</v>
      </c>
      <c r="B22" s="17" t="s">
        <v>44</v>
      </c>
      <c r="C22" s="18">
        <v>46204</v>
      </c>
      <c r="D22" s="17" t="s">
        <v>89</v>
      </c>
      <c r="E22" s="17" t="s">
        <v>96</v>
      </c>
      <c r="F22" s="17">
        <v>72</v>
      </c>
      <c r="G22" s="17" t="s">
        <v>111</v>
      </c>
      <c r="H22" s="17"/>
    </row>
    <row r="23" spans="1:8" x14ac:dyDescent="0.35">
      <c r="A23" s="17" t="s">
        <v>118</v>
      </c>
      <c r="B23" s="17" t="s">
        <v>44</v>
      </c>
      <c r="C23" s="18">
        <v>46163</v>
      </c>
      <c r="D23" s="17" t="s">
        <v>89</v>
      </c>
      <c r="E23" s="17" t="s">
        <v>99</v>
      </c>
      <c r="F23" s="17">
        <v>72</v>
      </c>
      <c r="G23" s="17" t="s">
        <v>87</v>
      </c>
      <c r="H23" s="17"/>
    </row>
    <row r="24" spans="1:8" x14ac:dyDescent="0.35">
      <c r="A24" s="17" t="s">
        <v>119</v>
      </c>
      <c r="B24" s="17" t="s">
        <v>44</v>
      </c>
      <c r="C24" s="18">
        <v>46076</v>
      </c>
      <c r="D24" s="17" t="s">
        <v>89</v>
      </c>
      <c r="E24" s="17" t="s">
        <v>120</v>
      </c>
      <c r="F24" s="17">
        <v>24</v>
      </c>
      <c r="G24" s="17" t="s">
        <v>97</v>
      </c>
      <c r="H24" s="17"/>
    </row>
    <row r="25" spans="1:8" x14ac:dyDescent="0.35">
      <c r="A25" s="17" t="s">
        <v>121</v>
      </c>
      <c r="B25" s="17" t="s">
        <v>46</v>
      </c>
      <c r="C25" s="18">
        <v>46214</v>
      </c>
      <c r="D25" s="17" t="s">
        <v>85</v>
      </c>
      <c r="E25" s="17" t="s">
        <v>86</v>
      </c>
      <c r="F25" s="17">
        <v>8</v>
      </c>
      <c r="G25" s="17" t="s">
        <v>87</v>
      </c>
      <c r="H25" s="17"/>
    </row>
    <row r="26" spans="1:8" x14ac:dyDescent="0.35">
      <c r="A26" s="17" t="s">
        <v>122</v>
      </c>
      <c r="B26" s="17" t="s">
        <v>49</v>
      </c>
      <c r="C26" s="18">
        <v>46161</v>
      </c>
      <c r="D26" s="17" t="s">
        <v>85</v>
      </c>
      <c r="E26" s="17" t="s">
        <v>86</v>
      </c>
      <c r="F26" s="17">
        <v>8</v>
      </c>
      <c r="G26" s="17" t="s">
        <v>87</v>
      </c>
      <c r="H26" s="17"/>
    </row>
    <row r="27" spans="1:8" x14ac:dyDescent="0.35">
      <c r="A27" s="17" t="s">
        <v>123</v>
      </c>
      <c r="B27" s="17" t="s">
        <v>49</v>
      </c>
      <c r="C27" s="18">
        <v>45931</v>
      </c>
      <c r="D27" s="17" t="s">
        <v>89</v>
      </c>
      <c r="E27" s="17" t="s">
        <v>93</v>
      </c>
      <c r="F27" s="17">
        <v>4</v>
      </c>
      <c r="G27" s="17" t="s">
        <v>87</v>
      </c>
      <c r="H27" s="17"/>
    </row>
    <row r="28" spans="1:8" x14ac:dyDescent="0.35">
      <c r="A28" s="17" t="s">
        <v>124</v>
      </c>
      <c r="B28" s="17" t="s">
        <v>51</v>
      </c>
      <c r="C28" s="18">
        <v>46139</v>
      </c>
      <c r="D28" s="17" t="s">
        <v>85</v>
      </c>
      <c r="E28" s="17" t="s">
        <v>86</v>
      </c>
      <c r="F28" s="17">
        <v>8</v>
      </c>
      <c r="G28" s="17" t="s">
        <v>87</v>
      </c>
      <c r="H28" s="17"/>
    </row>
    <row r="29" spans="1:8" x14ac:dyDescent="0.35">
      <c r="A29" s="17" t="s">
        <v>125</v>
      </c>
      <c r="B29" s="17" t="s">
        <v>51</v>
      </c>
      <c r="C29" s="18">
        <v>45888</v>
      </c>
      <c r="D29" s="17" t="s">
        <v>89</v>
      </c>
      <c r="E29" s="17" t="s">
        <v>93</v>
      </c>
      <c r="F29" s="17">
        <v>6</v>
      </c>
      <c r="G29" s="17" t="s">
        <v>126</v>
      </c>
      <c r="H29" s="17"/>
    </row>
    <row r="30" spans="1:8" x14ac:dyDescent="0.35">
      <c r="A30" s="17" t="s">
        <v>127</v>
      </c>
      <c r="B30" s="17" t="s">
        <v>51</v>
      </c>
      <c r="C30" s="18">
        <v>46107</v>
      </c>
      <c r="D30" s="17" t="s">
        <v>89</v>
      </c>
      <c r="E30" s="17" t="s">
        <v>90</v>
      </c>
      <c r="F30" s="17">
        <v>16</v>
      </c>
      <c r="G30" s="17" t="s">
        <v>111</v>
      </c>
      <c r="H30" s="17"/>
    </row>
    <row r="31" spans="1:8" x14ac:dyDescent="0.35">
      <c r="A31" s="17" t="s">
        <v>128</v>
      </c>
      <c r="B31" s="17" t="s">
        <v>51</v>
      </c>
      <c r="C31" s="18">
        <v>45994</v>
      </c>
      <c r="D31" s="17" t="s">
        <v>89</v>
      </c>
      <c r="E31" s="17" t="s">
        <v>120</v>
      </c>
      <c r="F31" s="17">
        <v>8</v>
      </c>
      <c r="G31" s="17" t="s">
        <v>126</v>
      </c>
      <c r="H31" s="17"/>
    </row>
    <row r="32" spans="1:8" x14ac:dyDescent="0.35">
      <c r="A32" s="17" t="s">
        <v>129</v>
      </c>
      <c r="B32" s="17" t="s">
        <v>53</v>
      </c>
      <c r="C32" s="18">
        <v>46217</v>
      </c>
      <c r="D32" s="17" t="s">
        <v>85</v>
      </c>
      <c r="E32" s="17" t="s">
        <v>86</v>
      </c>
      <c r="F32" s="17">
        <v>8</v>
      </c>
      <c r="G32" s="17" t="s">
        <v>87</v>
      </c>
      <c r="H32" s="17"/>
    </row>
    <row r="33" spans="1:8" x14ac:dyDescent="0.35">
      <c r="A33" s="17" t="s">
        <v>130</v>
      </c>
      <c r="B33" s="17" t="s">
        <v>56</v>
      </c>
      <c r="C33" s="18">
        <v>46181</v>
      </c>
      <c r="D33" s="17" t="s">
        <v>85</v>
      </c>
      <c r="E33" s="17" t="s">
        <v>86</v>
      </c>
      <c r="F33" s="17">
        <v>8</v>
      </c>
      <c r="G33" s="17" t="s">
        <v>87</v>
      </c>
      <c r="H33" s="17"/>
    </row>
    <row r="34" spans="1:8" x14ac:dyDescent="0.35">
      <c r="A34" s="17" t="s">
        <v>131</v>
      </c>
      <c r="B34" s="17" t="s">
        <v>56</v>
      </c>
      <c r="C34" s="18">
        <v>46037</v>
      </c>
      <c r="D34" s="17" t="s">
        <v>89</v>
      </c>
      <c r="E34" s="17" t="s">
        <v>116</v>
      </c>
      <c r="F34" s="17">
        <v>16</v>
      </c>
      <c r="G34" s="17" t="s">
        <v>94</v>
      </c>
      <c r="H34" s="17"/>
    </row>
    <row r="35" spans="1:8" x14ac:dyDescent="0.35">
      <c r="A35" s="17" t="s">
        <v>132</v>
      </c>
      <c r="B35" s="17" t="s">
        <v>56</v>
      </c>
      <c r="C35" s="18">
        <v>45877</v>
      </c>
      <c r="D35" s="17" t="s">
        <v>89</v>
      </c>
      <c r="E35" s="17" t="s">
        <v>120</v>
      </c>
      <c r="F35" s="17">
        <v>8</v>
      </c>
      <c r="G35" s="17" t="s">
        <v>87</v>
      </c>
      <c r="H35" s="17"/>
    </row>
    <row r="36" spans="1:8" x14ac:dyDescent="0.35">
      <c r="A36" s="17" t="s">
        <v>133</v>
      </c>
      <c r="B36" s="17" t="s">
        <v>58</v>
      </c>
      <c r="C36" s="18">
        <v>46163</v>
      </c>
      <c r="D36" s="17" t="s">
        <v>85</v>
      </c>
      <c r="E36" s="17" t="s">
        <v>86</v>
      </c>
      <c r="F36" s="17">
        <v>8</v>
      </c>
      <c r="G36" s="17" t="s">
        <v>87</v>
      </c>
      <c r="H36" s="17"/>
    </row>
    <row r="37" spans="1:8" x14ac:dyDescent="0.35">
      <c r="A37" s="17" t="s">
        <v>134</v>
      </c>
      <c r="B37" s="17" t="s">
        <v>58</v>
      </c>
      <c r="C37" s="18">
        <v>45953</v>
      </c>
      <c r="D37" s="17" t="s">
        <v>89</v>
      </c>
      <c r="E37" s="17" t="s">
        <v>96</v>
      </c>
      <c r="F37" s="17">
        <v>8</v>
      </c>
      <c r="G37" s="17" t="s">
        <v>94</v>
      </c>
      <c r="H37" s="17"/>
    </row>
    <row r="38" spans="1:8" x14ac:dyDescent="0.35">
      <c r="A38" s="17" t="s">
        <v>135</v>
      </c>
      <c r="B38" s="17" t="s">
        <v>58</v>
      </c>
      <c r="C38" s="18">
        <v>45990</v>
      </c>
      <c r="D38" s="17" t="s">
        <v>89</v>
      </c>
      <c r="E38" s="17" t="s">
        <v>99</v>
      </c>
      <c r="F38" s="17">
        <v>72</v>
      </c>
      <c r="G38" s="17" t="s">
        <v>126</v>
      </c>
      <c r="H38" s="17"/>
    </row>
    <row r="39" spans="1:8" x14ac:dyDescent="0.35">
      <c r="A39" s="17" t="s">
        <v>136</v>
      </c>
      <c r="B39" s="17" t="s">
        <v>58</v>
      </c>
      <c r="C39" s="18">
        <v>46114</v>
      </c>
      <c r="D39" s="17" t="s">
        <v>89</v>
      </c>
      <c r="E39" s="17" t="s">
        <v>120</v>
      </c>
      <c r="F39" s="17">
        <v>4</v>
      </c>
      <c r="G39" s="17" t="s">
        <v>126</v>
      </c>
      <c r="H39" s="17"/>
    </row>
    <row r="40" spans="1:8" x14ac:dyDescent="0.35">
      <c r="A40" s="17" t="s">
        <v>137</v>
      </c>
      <c r="B40" s="17" t="s">
        <v>58</v>
      </c>
      <c r="C40" s="18">
        <v>46109</v>
      </c>
      <c r="D40" s="17" t="s">
        <v>89</v>
      </c>
      <c r="E40" s="17" t="s">
        <v>103</v>
      </c>
      <c r="F40" s="17">
        <v>36</v>
      </c>
      <c r="G40" s="17" t="s">
        <v>126</v>
      </c>
      <c r="H40" s="17"/>
    </row>
    <row r="41" spans="1:8" x14ac:dyDescent="0.35">
      <c r="A41" s="17" t="s">
        <v>138</v>
      </c>
      <c r="B41" s="17" t="s">
        <v>60</v>
      </c>
      <c r="C41" s="18">
        <v>46174</v>
      </c>
      <c r="D41" s="17" t="s">
        <v>85</v>
      </c>
      <c r="E41" s="17" t="s">
        <v>86</v>
      </c>
      <c r="F41" s="17">
        <v>8</v>
      </c>
      <c r="G41" s="17" t="s">
        <v>87</v>
      </c>
      <c r="H41" s="17"/>
    </row>
    <row r="42" spans="1:8" x14ac:dyDescent="0.35">
      <c r="A42" s="17" t="s">
        <v>139</v>
      </c>
      <c r="B42" s="17" t="s">
        <v>64</v>
      </c>
      <c r="C42" s="18">
        <v>46079</v>
      </c>
      <c r="D42" s="17" t="s">
        <v>85</v>
      </c>
      <c r="E42" s="17" t="s">
        <v>86</v>
      </c>
      <c r="F42" s="17">
        <v>8</v>
      </c>
      <c r="G42" s="17" t="s">
        <v>87</v>
      </c>
      <c r="H42" s="17"/>
    </row>
    <row r="43" spans="1:8" x14ac:dyDescent="0.35">
      <c r="A43" s="17" t="s">
        <v>140</v>
      </c>
      <c r="B43" s="17" t="s">
        <v>64</v>
      </c>
      <c r="C43" s="18">
        <v>46089</v>
      </c>
      <c r="D43" s="17" t="s">
        <v>89</v>
      </c>
      <c r="E43" s="17" t="s">
        <v>90</v>
      </c>
      <c r="F43" s="17">
        <v>24</v>
      </c>
      <c r="G43" s="17" t="s">
        <v>94</v>
      </c>
      <c r="H43" s="17"/>
    </row>
    <row r="44" spans="1:8" x14ac:dyDescent="0.35">
      <c r="A44" s="17" t="s">
        <v>141</v>
      </c>
      <c r="B44" s="17" t="s">
        <v>66</v>
      </c>
      <c r="C44" s="18">
        <v>46039</v>
      </c>
      <c r="D44" s="17" t="s">
        <v>85</v>
      </c>
      <c r="E44" s="17" t="s">
        <v>86</v>
      </c>
      <c r="F44" s="17">
        <v>8</v>
      </c>
      <c r="G44" s="17" t="s">
        <v>87</v>
      </c>
      <c r="H44" s="17"/>
    </row>
    <row r="45" spans="1:8" x14ac:dyDescent="0.35">
      <c r="A45" s="17" t="s">
        <v>142</v>
      </c>
      <c r="B45" s="17" t="s">
        <v>66</v>
      </c>
      <c r="C45" s="18">
        <v>46118</v>
      </c>
      <c r="D45" s="17" t="s">
        <v>89</v>
      </c>
      <c r="E45" s="17" t="s">
        <v>120</v>
      </c>
      <c r="F45" s="17">
        <v>36</v>
      </c>
      <c r="G45" s="17" t="s">
        <v>111</v>
      </c>
      <c r="H45" s="17"/>
    </row>
    <row r="46" spans="1:8" x14ac:dyDescent="0.35">
      <c r="A46" s="17" t="s">
        <v>143</v>
      </c>
      <c r="B46" s="17" t="s">
        <v>66</v>
      </c>
      <c r="C46" s="18">
        <v>45897</v>
      </c>
      <c r="D46" s="17" t="s">
        <v>89</v>
      </c>
      <c r="E46" s="17" t="s">
        <v>106</v>
      </c>
      <c r="F46" s="17">
        <v>16</v>
      </c>
      <c r="G46" s="17" t="s">
        <v>94</v>
      </c>
      <c r="H46" s="17"/>
    </row>
    <row r="47" spans="1:8" x14ac:dyDescent="0.35">
      <c r="A47" s="17" t="s">
        <v>144</v>
      </c>
      <c r="B47" s="17" t="s">
        <v>68</v>
      </c>
      <c r="C47" s="18">
        <v>46219</v>
      </c>
      <c r="D47" s="17" t="s">
        <v>85</v>
      </c>
      <c r="E47" s="17" t="s">
        <v>86</v>
      </c>
      <c r="F47" s="17">
        <v>8</v>
      </c>
      <c r="G47" s="17" t="s">
        <v>87</v>
      </c>
      <c r="H47" s="17"/>
    </row>
    <row r="48" spans="1:8" x14ac:dyDescent="0.35">
      <c r="A48" s="17" t="s">
        <v>145</v>
      </c>
      <c r="B48" s="17" t="s">
        <v>72</v>
      </c>
      <c r="C48" s="18">
        <v>46193</v>
      </c>
      <c r="D48" s="17" t="s">
        <v>85</v>
      </c>
      <c r="E48" s="17" t="s">
        <v>86</v>
      </c>
      <c r="F48" s="17">
        <v>8</v>
      </c>
      <c r="G48" s="17" t="s">
        <v>87</v>
      </c>
      <c r="H48" s="17"/>
    </row>
    <row r="49" spans="1:8" x14ac:dyDescent="0.35">
      <c r="A49" s="17" t="s">
        <v>146</v>
      </c>
      <c r="B49" s="17" t="s">
        <v>72</v>
      </c>
      <c r="C49" s="18">
        <v>46155</v>
      </c>
      <c r="D49" s="17" t="s">
        <v>89</v>
      </c>
      <c r="E49" s="17" t="s">
        <v>93</v>
      </c>
      <c r="F49" s="17">
        <v>72</v>
      </c>
      <c r="G49" s="17" t="s">
        <v>97</v>
      </c>
      <c r="H49" s="17"/>
    </row>
    <row r="50" spans="1:8" x14ac:dyDescent="0.35">
      <c r="A50" s="17" t="s">
        <v>147</v>
      </c>
      <c r="B50" s="17" t="s">
        <v>74</v>
      </c>
      <c r="C50" s="18">
        <v>46179</v>
      </c>
      <c r="D50" s="17" t="s">
        <v>85</v>
      </c>
      <c r="E50" s="17" t="s">
        <v>86</v>
      </c>
      <c r="F50" s="17">
        <v>8</v>
      </c>
      <c r="G50" s="17" t="s">
        <v>87</v>
      </c>
      <c r="H50" s="17"/>
    </row>
    <row r="51" spans="1:8" x14ac:dyDescent="0.35">
      <c r="A51" s="17" t="s">
        <v>148</v>
      </c>
      <c r="B51" s="17" t="s">
        <v>74</v>
      </c>
      <c r="C51" s="18">
        <v>46092</v>
      </c>
      <c r="D51" s="17" t="s">
        <v>89</v>
      </c>
      <c r="E51" s="17" t="s">
        <v>96</v>
      </c>
      <c r="F51" s="17">
        <v>36</v>
      </c>
      <c r="G51" s="17" t="s">
        <v>97</v>
      </c>
      <c r="H51" s="17"/>
    </row>
    <row r="52" spans="1:8" x14ac:dyDescent="0.35">
      <c r="A52" s="17" t="s">
        <v>149</v>
      </c>
      <c r="B52" s="17" t="s">
        <v>74</v>
      </c>
      <c r="C52" s="18">
        <v>45928</v>
      </c>
      <c r="D52" s="17" t="s">
        <v>89</v>
      </c>
      <c r="E52" s="17" t="s">
        <v>99</v>
      </c>
      <c r="F52" s="17">
        <v>12</v>
      </c>
      <c r="G52" s="17" t="s">
        <v>126</v>
      </c>
      <c r="H52" s="17"/>
    </row>
    <row r="53" spans="1:8" x14ac:dyDescent="0.35">
      <c r="A53" s="17" t="s">
        <v>150</v>
      </c>
      <c r="B53" s="17" t="s">
        <v>74</v>
      </c>
      <c r="C53" s="18">
        <v>46156</v>
      </c>
      <c r="D53" s="17" t="s">
        <v>89</v>
      </c>
      <c r="E53" s="17" t="s">
        <v>151</v>
      </c>
      <c r="F53" s="17">
        <v>6</v>
      </c>
      <c r="G53" s="17" t="s">
        <v>111</v>
      </c>
      <c r="H53" s="17"/>
    </row>
  </sheetData>
  <mergeCells count="2">
    <mergeCell ref="A1:H1"/>
    <mergeCell ref="A2:H2"/>
  </mergeCells>
  <dataValidations count="2">
    <dataValidation type="list" allowBlank="1" error="Pick a Unit ID from the Asset Register." prompt="Select the unit this event relates to." sqref="B4:B500" xr:uid="{00000000-0002-0000-0200-000000000000}">
      <formula1>"CR-01,CR-02,CR-03,AT-01,AT-02,AT-03,RT-01,RT-02,RT-03,LC-01,LC-02,LC-03,TC-01,TC-02,TC-03,SP-01,SP-02,SP-03"</formula1>
      <formula2>0</formula2>
    </dataValidation>
    <dataValidation type="list" allowBlank="1" error="Choose Scheduled Service or Breakdown." prompt="Select the event type." sqref="D4:D500" xr:uid="{00000000-0002-0000-0200-000001000000}">
      <formula1>"Scheduled Service,Breakdown"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3"/>
  <sheetViews>
    <sheetView showGridLines="0" tabSelected="1"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30" customWidth="1"/>
    <col min="2" max="2" width="4" customWidth="1"/>
    <col min="3" max="14" width="10" customWidth="1"/>
  </cols>
  <sheetData>
    <row r="1" spans="1:14" ht="20" x14ac:dyDescent="0.4">
      <c r="A1" s="2" t="s">
        <v>152</v>
      </c>
      <c r="B1" s="2"/>
      <c r="C1" s="2"/>
      <c r="D1" s="2"/>
      <c r="E1" s="2"/>
      <c r="F1" s="2"/>
      <c r="G1" s="2"/>
      <c r="H1" s="2"/>
      <c r="I1" s="2"/>
      <c r="J1" s="2"/>
      <c r="K1" s="2"/>
      <c r="L1" s="2"/>
      <c r="M1" s="2"/>
      <c r="N1" s="2"/>
    </row>
    <row r="2" spans="1:14" x14ac:dyDescent="0.35">
      <c r="A2" s="1" t="s">
        <v>153</v>
      </c>
      <c r="B2" s="1"/>
      <c r="C2" s="1"/>
      <c r="D2" s="1"/>
      <c r="E2" s="1"/>
      <c r="F2" s="1"/>
      <c r="G2" s="1"/>
      <c r="H2" s="1"/>
      <c r="I2" s="1"/>
      <c r="J2" s="1"/>
      <c r="K2" s="1"/>
      <c r="L2" s="1"/>
      <c r="M2" s="1"/>
      <c r="N2" s="1"/>
    </row>
    <row r="4" spans="1:14" ht="19.5" customHeight="1" x14ac:dyDescent="0.35">
      <c r="A4" s="11" t="s">
        <v>20</v>
      </c>
      <c r="B4" s="11" t="s">
        <v>154</v>
      </c>
      <c r="C4" s="11" t="s">
        <v>155</v>
      </c>
      <c r="D4" s="11" t="s">
        <v>156</v>
      </c>
      <c r="E4" s="11" t="s">
        <v>157</v>
      </c>
      <c r="F4" s="11" t="s">
        <v>158</v>
      </c>
      <c r="G4" s="11" t="s">
        <v>159</v>
      </c>
      <c r="H4" s="11" t="s">
        <v>160</v>
      </c>
      <c r="I4" s="11" t="s">
        <v>161</v>
      </c>
      <c r="J4" s="11" t="s">
        <v>162</v>
      </c>
      <c r="K4" s="11" t="s">
        <v>163</v>
      </c>
      <c r="L4" s="11" t="s">
        <v>164</v>
      </c>
      <c r="M4" s="11" t="s">
        <v>165</v>
      </c>
      <c r="N4" s="11" t="s">
        <v>166</v>
      </c>
    </row>
    <row r="5" spans="1:14" x14ac:dyDescent="0.35">
      <c r="A5" s="15" t="s">
        <v>30</v>
      </c>
      <c r="B5" s="15" t="s">
        <v>31</v>
      </c>
      <c r="C5" s="15">
        <f>COUNTIFS('Maintenance Log'!$B$4:$B$500,$A5,'Maintenance Log'!$D$4:$D$500,"Breakdown",'Maintenance Log'!$C$4:$C$500,"&gt;="&amp;DATE(2025,8,1),'Maintenance Log'!$C$4:$C$500,"&lt;"&amp;DATE(2025,9,1))</f>
        <v>1</v>
      </c>
      <c r="D5" s="15">
        <f>COUNTIFS('Maintenance Log'!$B$4:$B$500,$A5,'Maintenance Log'!$D$4:$D$500,"Breakdown",'Maintenance Log'!$C$4:$C$500,"&gt;="&amp;DATE(2025,9,1),'Maintenance Log'!$C$4:$C$500,"&lt;"&amp;DATE(2025,10,1))</f>
        <v>0</v>
      </c>
      <c r="E5" s="15">
        <f>COUNTIFS('Maintenance Log'!$B$4:$B$500,$A5,'Maintenance Log'!$D$4:$D$500,"Breakdown",'Maintenance Log'!$C$4:$C$500,"&gt;="&amp;DATE(2025,10,1),'Maintenance Log'!$C$4:$C$500,"&lt;"&amp;DATE(2025,11,1))</f>
        <v>0</v>
      </c>
      <c r="F5" s="15">
        <f>COUNTIFS('Maintenance Log'!$B$4:$B$500,$A5,'Maintenance Log'!$D$4:$D$500,"Breakdown",'Maintenance Log'!$C$4:$C$500,"&gt;="&amp;DATE(2025,11,1),'Maintenance Log'!$C$4:$C$500,"&lt;"&amp;DATE(2025,12,1))</f>
        <v>0</v>
      </c>
      <c r="G5" s="15">
        <f>COUNTIFS('Maintenance Log'!$B$4:$B$500,$A5,'Maintenance Log'!$D$4:$D$500,"Breakdown",'Maintenance Log'!$C$4:$C$500,"&gt;="&amp;DATE(2025,12,1),'Maintenance Log'!$C$4:$C$500,"&lt;"&amp;DATE(2026,1,1))</f>
        <v>0</v>
      </c>
      <c r="H5" s="15">
        <f>COUNTIFS('Maintenance Log'!$B$4:$B$500,$A5,'Maintenance Log'!$D$4:$D$500,"Breakdown",'Maintenance Log'!$C$4:$C$500,"&gt;="&amp;DATE(2026,1,1),'Maintenance Log'!$C$4:$C$500,"&lt;"&amp;DATE(2026,2,1))</f>
        <v>0</v>
      </c>
      <c r="I5" s="15">
        <f>COUNTIFS('Maintenance Log'!$B$4:$B$500,$A5,'Maintenance Log'!$D$4:$D$500,"Breakdown",'Maintenance Log'!$C$4:$C$500,"&gt;="&amp;DATE(2026,2,1),'Maintenance Log'!$C$4:$C$500,"&lt;"&amp;DATE(2026,3,1))</f>
        <v>0</v>
      </c>
      <c r="J5" s="15">
        <f>COUNTIFS('Maintenance Log'!$B$4:$B$500,$A5,'Maintenance Log'!$D$4:$D$500,"Breakdown",'Maintenance Log'!$C$4:$C$500,"&gt;="&amp;DATE(2026,3,1),'Maintenance Log'!$C$4:$C$500,"&lt;"&amp;DATE(2026,4,1))</f>
        <v>0</v>
      </c>
      <c r="K5" s="15">
        <f>COUNTIFS('Maintenance Log'!$B$4:$B$500,$A5,'Maintenance Log'!$D$4:$D$500,"Breakdown",'Maintenance Log'!$C$4:$C$500,"&gt;="&amp;DATE(2026,4,1),'Maintenance Log'!$C$4:$C$500,"&lt;"&amp;DATE(2026,5,1))</f>
        <v>0</v>
      </c>
      <c r="L5" s="15">
        <f>COUNTIFS('Maintenance Log'!$B$4:$B$500,$A5,'Maintenance Log'!$D$4:$D$500,"Breakdown",'Maintenance Log'!$C$4:$C$500,"&gt;="&amp;DATE(2026,5,1),'Maintenance Log'!$C$4:$C$500,"&lt;"&amp;DATE(2026,6,1))</f>
        <v>0</v>
      </c>
      <c r="M5" s="15">
        <f>COUNTIFS('Maintenance Log'!$B$4:$B$500,$A5,'Maintenance Log'!$D$4:$D$500,"Breakdown",'Maintenance Log'!$C$4:$C$500,"&gt;="&amp;DATE(2026,6,1),'Maintenance Log'!$C$4:$C$500,"&lt;"&amp;DATE(2026,7,1))</f>
        <v>0</v>
      </c>
      <c r="N5" s="15">
        <f>COUNTIFS('Maintenance Log'!$B$4:$B$500,$A5,'Maintenance Log'!$D$4:$D$500,"Breakdown",'Maintenance Log'!$C$4:$C$500,"&gt;="&amp;DATE(2026,7,1),'Maintenance Log'!$C$4:$C$500,"&lt;"&amp;DATE(2026,8,1))</f>
        <v>0</v>
      </c>
    </row>
    <row r="6" spans="1:14" x14ac:dyDescent="0.35">
      <c r="A6" s="12" t="s">
        <v>34</v>
      </c>
      <c r="B6" s="12" t="s">
        <v>31</v>
      </c>
      <c r="C6" s="12">
        <f>COUNTIFS('Maintenance Log'!$B$4:$B$500,$A6,'Maintenance Log'!$D$4:$D$500,"Breakdown",'Maintenance Log'!$C$4:$C$500,"&gt;="&amp;DATE(2025,8,1),'Maintenance Log'!$C$4:$C$500,"&lt;"&amp;DATE(2025,9,1))</f>
        <v>1</v>
      </c>
      <c r="D6" s="12">
        <f>COUNTIFS('Maintenance Log'!$B$4:$B$500,$A6,'Maintenance Log'!$D$4:$D$500,"Breakdown",'Maintenance Log'!$C$4:$C$500,"&gt;="&amp;DATE(2025,9,1),'Maintenance Log'!$C$4:$C$500,"&lt;"&amp;DATE(2025,10,1))</f>
        <v>1</v>
      </c>
      <c r="E6" s="12">
        <f>COUNTIFS('Maintenance Log'!$B$4:$B$500,$A6,'Maintenance Log'!$D$4:$D$500,"Breakdown",'Maintenance Log'!$C$4:$C$500,"&gt;="&amp;DATE(2025,10,1),'Maintenance Log'!$C$4:$C$500,"&lt;"&amp;DATE(2025,11,1))</f>
        <v>0</v>
      </c>
      <c r="F6" s="12">
        <f>COUNTIFS('Maintenance Log'!$B$4:$B$500,$A6,'Maintenance Log'!$D$4:$D$500,"Breakdown",'Maintenance Log'!$C$4:$C$500,"&gt;="&amp;DATE(2025,11,1),'Maintenance Log'!$C$4:$C$500,"&lt;"&amp;DATE(2025,12,1))</f>
        <v>0</v>
      </c>
      <c r="G6" s="12">
        <f>COUNTIFS('Maintenance Log'!$B$4:$B$500,$A6,'Maintenance Log'!$D$4:$D$500,"Breakdown",'Maintenance Log'!$C$4:$C$500,"&gt;="&amp;DATE(2025,12,1),'Maintenance Log'!$C$4:$C$500,"&lt;"&amp;DATE(2026,1,1))</f>
        <v>0</v>
      </c>
      <c r="H6" s="12">
        <f>COUNTIFS('Maintenance Log'!$B$4:$B$500,$A6,'Maintenance Log'!$D$4:$D$500,"Breakdown",'Maintenance Log'!$C$4:$C$500,"&gt;="&amp;DATE(2026,1,1),'Maintenance Log'!$C$4:$C$500,"&lt;"&amp;DATE(2026,2,1))</f>
        <v>0</v>
      </c>
      <c r="I6" s="12">
        <f>COUNTIFS('Maintenance Log'!$B$4:$B$500,$A6,'Maintenance Log'!$D$4:$D$500,"Breakdown",'Maintenance Log'!$C$4:$C$500,"&gt;="&amp;DATE(2026,2,1),'Maintenance Log'!$C$4:$C$500,"&lt;"&amp;DATE(2026,3,1))</f>
        <v>0</v>
      </c>
      <c r="J6" s="12">
        <f>COUNTIFS('Maintenance Log'!$B$4:$B$500,$A6,'Maintenance Log'!$D$4:$D$500,"Breakdown",'Maintenance Log'!$C$4:$C$500,"&gt;="&amp;DATE(2026,3,1),'Maintenance Log'!$C$4:$C$500,"&lt;"&amp;DATE(2026,4,1))</f>
        <v>1</v>
      </c>
      <c r="K6" s="12">
        <f>COUNTIFS('Maintenance Log'!$B$4:$B$500,$A6,'Maintenance Log'!$D$4:$D$500,"Breakdown",'Maintenance Log'!$C$4:$C$500,"&gt;="&amp;DATE(2026,4,1),'Maintenance Log'!$C$4:$C$500,"&lt;"&amp;DATE(2026,5,1))</f>
        <v>0</v>
      </c>
      <c r="L6" s="12">
        <f>COUNTIFS('Maintenance Log'!$B$4:$B$500,$A6,'Maintenance Log'!$D$4:$D$500,"Breakdown",'Maintenance Log'!$C$4:$C$500,"&gt;="&amp;DATE(2026,5,1),'Maintenance Log'!$C$4:$C$500,"&lt;"&amp;DATE(2026,6,1))</f>
        <v>0</v>
      </c>
      <c r="M6" s="12">
        <f>COUNTIFS('Maintenance Log'!$B$4:$B$500,$A6,'Maintenance Log'!$D$4:$D$500,"Breakdown",'Maintenance Log'!$C$4:$C$500,"&gt;="&amp;DATE(2026,6,1),'Maintenance Log'!$C$4:$C$500,"&lt;"&amp;DATE(2026,7,1))</f>
        <v>0</v>
      </c>
      <c r="N6" s="12">
        <f>COUNTIFS('Maintenance Log'!$B$4:$B$500,$A6,'Maintenance Log'!$D$4:$D$500,"Breakdown",'Maintenance Log'!$C$4:$C$500,"&gt;="&amp;DATE(2026,7,1),'Maintenance Log'!$C$4:$C$500,"&lt;"&amp;DATE(2026,8,1))</f>
        <v>0</v>
      </c>
    </row>
    <row r="7" spans="1:14" x14ac:dyDescent="0.35">
      <c r="A7" s="15" t="s">
        <v>36</v>
      </c>
      <c r="B7" s="15" t="s">
        <v>31</v>
      </c>
      <c r="C7" s="15">
        <f>COUNTIFS('Maintenance Log'!$B$4:$B$500,$A7,'Maintenance Log'!$D$4:$D$500,"Breakdown",'Maintenance Log'!$C$4:$C$500,"&gt;="&amp;DATE(2025,8,1),'Maintenance Log'!$C$4:$C$500,"&lt;"&amp;DATE(2025,9,1))</f>
        <v>1</v>
      </c>
      <c r="D7" s="15">
        <f>COUNTIFS('Maintenance Log'!$B$4:$B$500,$A7,'Maintenance Log'!$D$4:$D$500,"Breakdown",'Maintenance Log'!$C$4:$C$500,"&gt;="&amp;DATE(2025,9,1),'Maintenance Log'!$C$4:$C$500,"&lt;"&amp;DATE(2025,10,1))</f>
        <v>1</v>
      </c>
      <c r="E7" s="15">
        <f>COUNTIFS('Maintenance Log'!$B$4:$B$500,$A7,'Maintenance Log'!$D$4:$D$500,"Breakdown",'Maintenance Log'!$C$4:$C$500,"&gt;="&amp;DATE(2025,10,1),'Maintenance Log'!$C$4:$C$500,"&lt;"&amp;DATE(2025,11,1))</f>
        <v>0</v>
      </c>
      <c r="F7" s="15">
        <f>COUNTIFS('Maintenance Log'!$B$4:$B$500,$A7,'Maintenance Log'!$D$4:$D$500,"Breakdown",'Maintenance Log'!$C$4:$C$500,"&gt;="&amp;DATE(2025,11,1),'Maintenance Log'!$C$4:$C$500,"&lt;"&amp;DATE(2025,12,1))</f>
        <v>0</v>
      </c>
      <c r="G7" s="15">
        <f>COUNTIFS('Maintenance Log'!$B$4:$B$500,$A7,'Maintenance Log'!$D$4:$D$500,"Breakdown",'Maintenance Log'!$C$4:$C$500,"&gt;="&amp;DATE(2025,12,1),'Maintenance Log'!$C$4:$C$500,"&lt;"&amp;DATE(2026,1,1))</f>
        <v>0</v>
      </c>
      <c r="H7" s="15">
        <f>COUNTIFS('Maintenance Log'!$B$4:$B$500,$A7,'Maintenance Log'!$D$4:$D$500,"Breakdown",'Maintenance Log'!$C$4:$C$500,"&gt;="&amp;DATE(2026,1,1),'Maintenance Log'!$C$4:$C$500,"&lt;"&amp;DATE(2026,2,1))</f>
        <v>0</v>
      </c>
      <c r="I7" s="15">
        <f>COUNTIFS('Maintenance Log'!$B$4:$B$500,$A7,'Maintenance Log'!$D$4:$D$500,"Breakdown",'Maintenance Log'!$C$4:$C$500,"&gt;="&amp;DATE(2026,2,1),'Maintenance Log'!$C$4:$C$500,"&lt;"&amp;DATE(2026,3,1))</f>
        <v>0</v>
      </c>
      <c r="J7" s="15">
        <f>COUNTIFS('Maintenance Log'!$B$4:$B$500,$A7,'Maintenance Log'!$D$4:$D$500,"Breakdown",'Maintenance Log'!$C$4:$C$500,"&gt;="&amp;DATE(2026,3,1),'Maintenance Log'!$C$4:$C$500,"&lt;"&amp;DATE(2026,4,1))</f>
        <v>0</v>
      </c>
      <c r="K7" s="15">
        <f>COUNTIFS('Maintenance Log'!$B$4:$B$500,$A7,'Maintenance Log'!$D$4:$D$500,"Breakdown",'Maintenance Log'!$C$4:$C$500,"&gt;="&amp;DATE(2026,4,1),'Maintenance Log'!$C$4:$C$500,"&lt;"&amp;DATE(2026,5,1))</f>
        <v>1</v>
      </c>
      <c r="L7" s="15">
        <f>COUNTIFS('Maintenance Log'!$B$4:$B$500,$A7,'Maintenance Log'!$D$4:$D$500,"Breakdown",'Maintenance Log'!$C$4:$C$500,"&gt;="&amp;DATE(2026,5,1),'Maintenance Log'!$C$4:$C$500,"&lt;"&amp;DATE(2026,6,1))</f>
        <v>0</v>
      </c>
      <c r="M7" s="15">
        <f>COUNTIFS('Maintenance Log'!$B$4:$B$500,$A7,'Maintenance Log'!$D$4:$D$500,"Breakdown",'Maintenance Log'!$C$4:$C$500,"&gt;="&amp;DATE(2026,6,1),'Maintenance Log'!$C$4:$C$500,"&lt;"&amp;DATE(2026,7,1))</f>
        <v>1</v>
      </c>
      <c r="N7" s="15">
        <f>COUNTIFS('Maintenance Log'!$B$4:$B$500,$A7,'Maintenance Log'!$D$4:$D$500,"Breakdown",'Maintenance Log'!$C$4:$C$500,"&gt;="&amp;DATE(2026,7,1),'Maintenance Log'!$C$4:$C$500,"&lt;"&amp;DATE(2026,8,1))</f>
        <v>0</v>
      </c>
    </row>
    <row r="8" spans="1:14" x14ac:dyDescent="0.35">
      <c r="A8" s="12" t="s">
        <v>38</v>
      </c>
      <c r="B8" s="12" t="s">
        <v>39</v>
      </c>
      <c r="C8" s="12">
        <f>COUNTIFS('Maintenance Log'!$B$4:$B$500,$A8,'Maintenance Log'!$D$4:$D$500,"Breakdown",'Maintenance Log'!$C$4:$C$500,"&gt;="&amp;DATE(2025,8,1),'Maintenance Log'!$C$4:$C$500,"&lt;"&amp;DATE(2025,9,1))</f>
        <v>0</v>
      </c>
      <c r="D8" s="12">
        <f>COUNTIFS('Maintenance Log'!$B$4:$B$500,$A8,'Maintenance Log'!$D$4:$D$500,"Breakdown",'Maintenance Log'!$C$4:$C$500,"&gt;="&amp;DATE(2025,9,1),'Maintenance Log'!$C$4:$C$500,"&lt;"&amp;DATE(2025,10,1))</f>
        <v>0</v>
      </c>
      <c r="E8" s="12">
        <f>COUNTIFS('Maintenance Log'!$B$4:$B$500,$A8,'Maintenance Log'!$D$4:$D$500,"Breakdown",'Maintenance Log'!$C$4:$C$500,"&gt;="&amp;DATE(2025,10,1),'Maintenance Log'!$C$4:$C$500,"&lt;"&amp;DATE(2025,11,1))</f>
        <v>0</v>
      </c>
      <c r="F8" s="12">
        <f>COUNTIFS('Maintenance Log'!$B$4:$B$500,$A8,'Maintenance Log'!$D$4:$D$500,"Breakdown",'Maintenance Log'!$C$4:$C$500,"&gt;="&amp;DATE(2025,11,1),'Maintenance Log'!$C$4:$C$500,"&lt;"&amp;DATE(2025,12,1))</f>
        <v>0</v>
      </c>
      <c r="G8" s="12">
        <f>COUNTIFS('Maintenance Log'!$B$4:$B$500,$A8,'Maintenance Log'!$D$4:$D$500,"Breakdown",'Maintenance Log'!$C$4:$C$500,"&gt;="&amp;DATE(2025,12,1),'Maintenance Log'!$C$4:$C$500,"&lt;"&amp;DATE(2026,1,1))</f>
        <v>0</v>
      </c>
      <c r="H8" s="12">
        <f>COUNTIFS('Maintenance Log'!$B$4:$B$500,$A8,'Maintenance Log'!$D$4:$D$500,"Breakdown",'Maintenance Log'!$C$4:$C$500,"&gt;="&amp;DATE(2026,1,1),'Maintenance Log'!$C$4:$C$500,"&lt;"&amp;DATE(2026,2,1))</f>
        <v>0</v>
      </c>
      <c r="I8" s="12">
        <f>COUNTIFS('Maintenance Log'!$B$4:$B$500,$A8,'Maintenance Log'!$D$4:$D$500,"Breakdown",'Maintenance Log'!$C$4:$C$500,"&gt;="&amp;DATE(2026,2,1),'Maintenance Log'!$C$4:$C$500,"&lt;"&amp;DATE(2026,3,1))</f>
        <v>0</v>
      </c>
      <c r="J8" s="12">
        <f>COUNTIFS('Maintenance Log'!$B$4:$B$500,$A8,'Maintenance Log'!$D$4:$D$500,"Breakdown",'Maintenance Log'!$C$4:$C$500,"&gt;="&amp;DATE(2026,3,1),'Maintenance Log'!$C$4:$C$500,"&lt;"&amp;DATE(2026,4,1))</f>
        <v>0</v>
      </c>
      <c r="K8" s="12">
        <f>COUNTIFS('Maintenance Log'!$B$4:$B$500,$A8,'Maintenance Log'!$D$4:$D$500,"Breakdown",'Maintenance Log'!$C$4:$C$500,"&gt;="&amp;DATE(2026,4,1),'Maintenance Log'!$C$4:$C$500,"&lt;"&amp;DATE(2026,5,1))</f>
        <v>0</v>
      </c>
      <c r="L8" s="12">
        <f>COUNTIFS('Maintenance Log'!$B$4:$B$500,$A8,'Maintenance Log'!$D$4:$D$500,"Breakdown",'Maintenance Log'!$C$4:$C$500,"&gt;="&amp;DATE(2026,5,1),'Maintenance Log'!$C$4:$C$500,"&lt;"&amp;DATE(2026,6,1))</f>
        <v>0</v>
      </c>
      <c r="M8" s="12">
        <f>COUNTIFS('Maintenance Log'!$B$4:$B$500,$A8,'Maintenance Log'!$D$4:$D$500,"Breakdown",'Maintenance Log'!$C$4:$C$500,"&gt;="&amp;DATE(2026,6,1),'Maintenance Log'!$C$4:$C$500,"&lt;"&amp;DATE(2026,7,1))</f>
        <v>0</v>
      </c>
      <c r="N8" s="12">
        <f>COUNTIFS('Maintenance Log'!$B$4:$B$500,$A8,'Maintenance Log'!$D$4:$D$500,"Breakdown",'Maintenance Log'!$C$4:$C$500,"&gt;="&amp;DATE(2026,7,1),'Maintenance Log'!$C$4:$C$500,"&lt;"&amp;DATE(2026,8,1))</f>
        <v>0</v>
      </c>
    </row>
    <row r="9" spans="1:14" x14ac:dyDescent="0.35">
      <c r="A9" s="15" t="s">
        <v>42</v>
      </c>
      <c r="B9" s="15" t="s">
        <v>39</v>
      </c>
      <c r="C9" s="15">
        <f>COUNTIFS('Maintenance Log'!$B$4:$B$500,$A9,'Maintenance Log'!$D$4:$D$500,"Breakdown",'Maintenance Log'!$C$4:$C$500,"&gt;="&amp;DATE(2025,8,1),'Maintenance Log'!$C$4:$C$500,"&lt;"&amp;DATE(2025,9,1))</f>
        <v>0</v>
      </c>
      <c r="D9" s="15">
        <f>COUNTIFS('Maintenance Log'!$B$4:$B$500,$A9,'Maintenance Log'!$D$4:$D$500,"Breakdown",'Maintenance Log'!$C$4:$C$500,"&gt;="&amp;DATE(2025,9,1),'Maintenance Log'!$C$4:$C$500,"&lt;"&amp;DATE(2025,10,1))</f>
        <v>0</v>
      </c>
      <c r="E9" s="15">
        <f>COUNTIFS('Maintenance Log'!$B$4:$B$500,$A9,'Maintenance Log'!$D$4:$D$500,"Breakdown",'Maintenance Log'!$C$4:$C$500,"&gt;="&amp;DATE(2025,10,1),'Maintenance Log'!$C$4:$C$500,"&lt;"&amp;DATE(2025,11,1))</f>
        <v>0</v>
      </c>
      <c r="F9" s="15">
        <f>COUNTIFS('Maintenance Log'!$B$4:$B$500,$A9,'Maintenance Log'!$D$4:$D$500,"Breakdown",'Maintenance Log'!$C$4:$C$500,"&gt;="&amp;DATE(2025,11,1),'Maintenance Log'!$C$4:$C$500,"&lt;"&amp;DATE(2025,12,1))</f>
        <v>0</v>
      </c>
      <c r="G9" s="15">
        <f>COUNTIFS('Maintenance Log'!$B$4:$B$500,$A9,'Maintenance Log'!$D$4:$D$500,"Breakdown",'Maintenance Log'!$C$4:$C$500,"&gt;="&amp;DATE(2025,12,1),'Maintenance Log'!$C$4:$C$500,"&lt;"&amp;DATE(2026,1,1))</f>
        <v>0</v>
      </c>
      <c r="H9" s="15">
        <f>COUNTIFS('Maintenance Log'!$B$4:$B$500,$A9,'Maintenance Log'!$D$4:$D$500,"Breakdown",'Maintenance Log'!$C$4:$C$500,"&gt;="&amp;DATE(2026,1,1),'Maintenance Log'!$C$4:$C$500,"&lt;"&amp;DATE(2026,2,1))</f>
        <v>0</v>
      </c>
      <c r="I9" s="15">
        <f>COUNTIFS('Maintenance Log'!$B$4:$B$500,$A9,'Maintenance Log'!$D$4:$D$500,"Breakdown",'Maintenance Log'!$C$4:$C$500,"&gt;="&amp;DATE(2026,2,1),'Maintenance Log'!$C$4:$C$500,"&lt;"&amp;DATE(2026,3,1))</f>
        <v>0</v>
      </c>
      <c r="J9" s="15">
        <f>COUNTIFS('Maintenance Log'!$B$4:$B$500,$A9,'Maintenance Log'!$D$4:$D$500,"Breakdown",'Maintenance Log'!$C$4:$C$500,"&gt;="&amp;DATE(2026,3,1),'Maintenance Log'!$C$4:$C$500,"&lt;"&amp;DATE(2026,4,1))</f>
        <v>1</v>
      </c>
      <c r="K9" s="15">
        <f>COUNTIFS('Maintenance Log'!$B$4:$B$500,$A9,'Maintenance Log'!$D$4:$D$500,"Breakdown",'Maintenance Log'!$C$4:$C$500,"&gt;="&amp;DATE(2026,4,1),'Maintenance Log'!$C$4:$C$500,"&lt;"&amp;DATE(2026,5,1))</f>
        <v>0</v>
      </c>
      <c r="L9" s="15">
        <f>COUNTIFS('Maintenance Log'!$B$4:$B$500,$A9,'Maintenance Log'!$D$4:$D$500,"Breakdown",'Maintenance Log'!$C$4:$C$500,"&gt;="&amp;DATE(2026,5,1),'Maintenance Log'!$C$4:$C$500,"&lt;"&amp;DATE(2026,6,1))</f>
        <v>0</v>
      </c>
      <c r="M9" s="15">
        <f>COUNTIFS('Maintenance Log'!$B$4:$B$500,$A9,'Maintenance Log'!$D$4:$D$500,"Breakdown",'Maintenance Log'!$C$4:$C$500,"&gt;="&amp;DATE(2026,6,1),'Maintenance Log'!$C$4:$C$500,"&lt;"&amp;DATE(2026,7,1))</f>
        <v>0</v>
      </c>
      <c r="N9" s="15">
        <f>COUNTIFS('Maintenance Log'!$B$4:$B$500,$A9,'Maintenance Log'!$D$4:$D$500,"Breakdown",'Maintenance Log'!$C$4:$C$500,"&gt;="&amp;DATE(2026,7,1),'Maintenance Log'!$C$4:$C$500,"&lt;"&amp;DATE(2026,8,1))</f>
        <v>1</v>
      </c>
    </row>
    <row r="10" spans="1:14" x14ac:dyDescent="0.35">
      <c r="A10" s="12" t="s">
        <v>44</v>
      </c>
      <c r="B10" s="12" t="s">
        <v>39</v>
      </c>
      <c r="C10" s="12">
        <f>COUNTIFS('Maintenance Log'!$B$4:$B$500,$A10,'Maintenance Log'!$D$4:$D$500,"Breakdown",'Maintenance Log'!$C$4:$C$500,"&gt;="&amp;DATE(2025,8,1),'Maintenance Log'!$C$4:$C$500,"&lt;"&amp;DATE(2025,9,1))</f>
        <v>0</v>
      </c>
      <c r="D10" s="12">
        <f>COUNTIFS('Maintenance Log'!$B$4:$B$500,$A10,'Maintenance Log'!$D$4:$D$500,"Breakdown",'Maintenance Log'!$C$4:$C$500,"&gt;="&amp;DATE(2025,9,1),'Maintenance Log'!$C$4:$C$500,"&lt;"&amp;DATE(2025,10,1))</f>
        <v>0</v>
      </c>
      <c r="E10" s="12">
        <f>COUNTIFS('Maintenance Log'!$B$4:$B$500,$A10,'Maintenance Log'!$D$4:$D$500,"Breakdown",'Maintenance Log'!$C$4:$C$500,"&gt;="&amp;DATE(2025,10,1),'Maintenance Log'!$C$4:$C$500,"&lt;"&amp;DATE(2025,11,1))</f>
        <v>0</v>
      </c>
      <c r="F10" s="12">
        <f>COUNTIFS('Maintenance Log'!$B$4:$B$500,$A10,'Maintenance Log'!$D$4:$D$500,"Breakdown",'Maintenance Log'!$C$4:$C$500,"&gt;="&amp;DATE(2025,11,1),'Maintenance Log'!$C$4:$C$500,"&lt;"&amp;DATE(2025,12,1))</f>
        <v>0</v>
      </c>
      <c r="G10" s="12">
        <f>COUNTIFS('Maintenance Log'!$B$4:$B$500,$A10,'Maintenance Log'!$D$4:$D$500,"Breakdown",'Maintenance Log'!$C$4:$C$500,"&gt;="&amp;DATE(2025,12,1),'Maintenance Log'!$C$4:$C$500,"&lt;"&amp;DATE(2026,1,1))</f>
        <v>0</v>
      </c>
      <c r="H10" s="12">
        <f>COUNTIFS('Maintenance Log'!$B$4:$B$500,$A10,'Maintenance Log'!$D$4:$D$500,"Breakdown",'Maintenance Log'!$C$4:$C$500,"&gt;="&amp;DATE(2026,1,1),'Maintenance Log'!$C$4:$C$500,"&lt;"&amp;DATE(2026,2,1))</f>
        <v>1</v>
      </c>
      <c r="I10" s="12">
        <f>COUNTIFS('Maintenance Log'!$B$4:$B$500,$A10,'Maintenance Log'!$D$4:$D$500,"Breakdown",'Maintenance Log'!$C$4:$C$500,"&gt;="&amp;DATE(2026,2,1),'Maintenance Log'!$C$4:$C$500,"&lt;"&amp;DATE(2026,3,1))</f>
        <v>1</v>
      </c>
      <c r="J10" s="12">
        <f>COUNTIFS('Maintenance Log'!$B$4:$B$500,$A10,'Maintenance Log'!$D$4:$D$500,"Breakdown",'Maintenance Log'!$C$4:$C$500,"&gt;="&amp;DATE(2026,3,1),'Maintenance Log'!$C$4:$C$500,"&lt;"&amp;DATE(2026,4,1))</f>
        <v>0</v>
      </c>
      <c r="K10" s="12">
        <f>COUNTIFS('Maintenance Log'!$B$4:$B$500,$A10,'Maintenance Log'!$D$4:$D$500,"Breakdown",'Maintenance Log'!$C$4:$C$500,"&gt;="&amp;DATE(2026,4,1),'Maintenance Log'!$C$4:$C$500,"&lt;"&amp;DATE(2026,5,1))</f>
        <v>0</v>
      </c>
      <c r="L10" s="12">
        <f>COUNTIFS('Maintenance Log'!$B$4:$B$500,$A10,'Maintenance Log'!$D$4:$D$500,"Breakdown",'Maintenance Log'!$C$4:$C$500,"&gt;="&amp;DATE(2026,5,1),'Maintenance Log'!$C$4:$C$500,"&lt;"&amp;DATE(2026,6,1))</f>
        <v>1</v>
      </c>
      <c r="M10" s="12">
        <f>COUNTIFS('Maintenance Log'!$B$4:$B$500,$A10,'Maintenance Log'!$D$4:$D$500,"Breakdown",'Maintenance Log'!$C$4:$C$500,"&gt;="&amp;DATE(2026,6,1),'Maintenance Log'!$C$4:$C$500,"&lt;"&amp;DATE(2026,7,1))</f>
        <v>1</v>
      </c>
      <c r="N10" s="12">
        <f>COUNTIFS('Maintenance Log'!$B$4:$B$500,$A10,'Maintenance Log'!$D$4:$D$500,"Breakdown",'Maintenance Log'!$C$4:$C$500,"&gt;="&amp;DATE(2026,7,1),'Maintenance Log'!$C$4:$C$500,"&lt;"&amp;DATE(2026,8,1))</f>
        <v>1</v>
      </c>
    </row>
    <row r="11" spans="1:14" x14ac:dyDescent="0.35">
      <c r="A11" s="15" t="s">
        <v>46</v>
      </c>
      <c r="B11" s="15" t="s">
        <v>47</v>
      </c>
      <c r="C11" s="15">
        <f>COUNTIFS('Maintenance Log'!$B$4:$B$500,$A11,'Maintenance Log'!$D$4:$D$500,"Breakdown",'Maintenance Log'!$C$4:$C$500,"&gt;="&amp;DATE(2025,8,1),'Maintenance Log'!$C$4:$C$500,"&lt;"&amp;DATE(2025,9,1))</f>
        <v>0</v>
      </c>
      <c r="D11" s="15">
        <f>COUNTIFS('Maintenance Log'!$B$4:$B$500,$A11,'Maintenance Log'!$D$4:$D$500,"Breakdown",'Maintenance Log'!$C$4:$C$500,"&gt;="&amp;DATE(2025,9,1),'Maintenance Log'!$C$4:$C$500,"&lt;"&amp;DATE(2025,10,1))</f>
        <v>0</v>
      </c>
      <c r="E11" s="15">
        <f>COUNTIFS('Maintenance Log'!$B$4:$B$500,$A11,'Maintenance Log'!$D$4:$D$500,"Breakdown",'Maintenance Log'!$C$4:$C$500,"&gt;="&amp;DATE(2025,10,1),'Maintenance Log'!$C$4:$C$500,"&lt;"&amp;DATE(2025,11,1))</f>
        <v>0</v>
      </c>
      <c r="F11" s="15">
        <f>COUNTIFS('Maintenance Log'!$B$4:$B$500,$A11,'Maintenance Log'!$D$4:$D$500,"Breakdown",'Maintenance Log'!$C$4:$C$500,"&gt;="&amp;DATE(2025,11,1),'Maintenance Log'!$C$4:$C$500,"&lt;"&amp;DATE(2025,12,1))</f>
        <v>0</v>
      </c>
      <c r="G11" s="15">
        <f>COUNTIFS('Maintenance Log'!$B$4:$B$500,$A11,'Maintenance Log'!$D$4:$D$500,"Breakdown",'Maintenance Log'!$C$4:$C$500,"&gt;="&amp;DATE(2025,12,1),'Maintenance Log'!$C$4:$C$500,"&lt;"&amp;DATE(2026,1,1))</f>
        <v>0</v>
      </c>
      <c r="H11" s="15">
        <f>COUNTIFS('Maintenance Log'!$B$4:$B$500,$A11,'Maintenance Log'!$D$4:$D$500,"Breakdown",'Maintenance Log'!$C$4:$C$500,"&gt;="&amp;DATE(2026,1,1),'Maintenance Log'!$C$4:$C$500,"&lt;"&amp;DATE(2026,2,1))</f>
        <v>0</v>
      </c>
      <c r="I11" s="15">
        <f>COUNTIFS('Maintenance Log'!$B$4:$B$500,$A11,'Maintenance Log'!$D$4:$D$500,"Breakdown",'Maintenance Log'!$C$4:$C$500,"&gt;="&amp;DATE(2026,2,1),'Maintenance Log'!$C$4:$C$500,"&lt;"&amp;DATE(2026,3,1))</f>
        <v>0</v>
      </c>
      <c r="J11" s="15">
        <f>COUNTIFS('Maintenance Log'!$B$4:$B$500,$A11,'Maintenance Log'!$D$4:$D$500,"Breakdown",'Maintenance Log'!$C$4:$C$500,"&gt;="&amp;DATE(2026,3,1),'Maintenance Log'!$C$4:$C$500,"&lt;"&amp;DATE(2026,4,1))</f>
        <v>0</v>
      </c>
      <c r="K11" s="15">
        <f>COUNTIFS('Maintenance Log'!$B$4:$B$500,$A11,'Maintenance Log'!$D$4:$D$500,"Breakdown",'Maintenance Log'!$C$4:$C$500,"&gt;="&amp;DATE(2026,4,1),'Maintenance Log'!$C$4:$C$500,"&lt;"&amp;DATE(2026,5,1))</f>
        <v>0</v>
      </c>
      <c r="L11" s="15">
        <f>COUNTIFS('Maintenance Log'!$B$4:$B$500,$A11,'Maintenance Log'!$D$4:$D$500,"Breakdown",'Maintenance Log'!$C$4:$C$500,"&gt;="&amp;DATE(2026,5,1),'Maintenance Log'!$C$4:$C$500,"&lt;"&amp;DATE(2026,6,1))</f>
        <v>0</v>
      </c>
      <c r="M11" s="15">
        <f>COUNTIFS('Maintenance Log'!$B$4:$B$500,$A11,'Maintenance Log'!$D$4:$D$500,"Breakdown",'Maintenance Log'!$C$4:$C$500,"&gt;="&amp;DATE(2026,6,1),'Maintenance Log'!$C$4:$C$500,"&lt;"&amp;DATE(2026,7,1))</f>
        <v>0</v>
      </c>
      <c r="N11" s="15">
        <f>COUNTIFS('Maintenance Log'!$B$4:$B$500,$A11,'Maintenance Log'!$D$4:$D$500,"Breakdown",'Maintenance Log'!$C$4:$C$500,"&gt;="&amp;DATE(2026,7,1),'Maintenance Log'!$C$4:$C$500,"&lt;"&amp;DATE(2026,8,1))</f>
        <v>0</v>
      </c>
    </row>
    <row r="12" spans="1:14" x14ac:dyDescent="0.35">
      <c r="A12" s="12" t="s">
        <v>49</v>
      </c>
      <c r="B12" s="12" t="s">
        <v>47</v>
      </c>
      <c r="C12" s="12">
        <f>COUNTIFS('Maintenance Log'!$B$4:$B$500,$A12,'Maintenance Log'!$D$4:$D$500,"Breakdown",'Maintenance Log'!$C$4:$C$500,"&gt;="&amp;DATE(2025,8,1),'Maintenance Log'!$C$4:$C$500,"&lt;"&amp;DATE(2025,9,1))</f>
        <v>0</v>
      </c>
      <c r="D12" s="12">
        <f>COUNTIFS('Maintenance Log'!$B$4:$B$500,$A12,'Maintenance Log'!$D$4:$D$500,"Breakdown",'Maintenance Log'!$C$4:$C$500,"&gt;="&amp;DATE(2025,9,1),'Maintenance Log'!$C$4:$C$500,"&lt;"&amp;DATE(2025,10,1))</f>
        <v>0</v>
      </c>
      <c r="E12" s="12">
        <f>COUNTIFS('Maintenance Log'!$B$4:$B$500,$A12,'Maintenance Log'!$D$4:$D$500,"Breakdown",'Maintenance Log'!$C$4:$C$500,"&gt;="&amp;DATE(2025,10,1),'Maintenance Log'!$C$4:$C$500,"&lt;"&amp;DATE(2025,11,1))</f>
        <v>1</v>
      </c>
      <c r="F12" s="12">
        <f>COUNTIFS('Maintenance Log'!$B$4:$B$500,$A12,'Maintenance Log'!$D$4:$D$500,"Breakdown",'Maintenance Log'!$C$4:$C$500,"&gt;="&amp;DATE(2025,11,1),'Maintenance Log'!$C$4:$C$500,"&lt;"&amp;DATE(2025,12,1))</f>
        <v>0</v>
      </c>
      <c r="G12" s="12">
        <f>COUNTIFS('Maintenance Log'!$B$4:$B$500,$A12,'Maintenance Log'!$D$4:$D$500,"Breakdown",'Maintenance Log'!$C$4:$C$500,"&gt;="&amp;DATE(2025,12,1),'Maintenance Log'!$C$4:$C$500,"&lt;"&amp;DATE(2026,1,1))</f>
        <v>0</v>
      </c>
      <c r="H12" s="12">
        <f>COUNTIFS('Maintenance Log'!$B$4:$B$500,$A12,'Maintenance Log'!$D$4:$D$500,"Breakdown",'Maintenance Log'!$C$4:$C$500,"&gt;="&amp;DATE(2026,1,1),'Maintenance Log'!$C$4:$C$500,"&lt;"&amp;DATE(2026,2,1))</f>
        <v>0</v>
      </c>
      <c r="I12" s="12">
        <f>COUNTIFS('Maintenance Log'!$B$4:$B$500,$A12,'Maintenance Log'!$D$4:$D$500,"Breakdown",'Maintenance Log'!$C$4:$C$500,"&gt;="&amp;DATE(2026,2,1),'Maintenance Log'!$C$4:$C$500,"&lt;"&amp;DATE(2026,3,1))</f>
        <v>0</v>
      </c>
      <c r="J12" s="12">
        <f>COUNTIFS('Maintenance Log'!$B$4:$B$500,$A12,'Maintenance Log'!$D$4:$D$500,"Breakdown",'Maintenance Log'!$C$4:$C$500,"&gt;="&amp;DATE(2026,3,1),'Maintenance Log'!$C$4:$C$500,"&lt;"&amp;DATE(2026,4,1))</f>
        <v>0</v>
      </c>
      <c r="K12" s="12">
        <f>COUNTIFS('Maintenance Log'!$B$4:$B$500,$A12,'Maintenance Log'!$D$4:$D$500,"Breakdown",'Maintenance Log'!$C$4:$C$500,"&gt;="&amp;DATE(2026,4,1),'Maintenance Log'!$C$4:$C$500,"&lt;"&amp;DATE(2026,5,1))</f>
        <v>0</v>
      </c>
      <c r="L12" s="12">
        <f>COUNTIFS('Maintenance Log'!$B$4:$B$500,$A12,'Maintenance Log'!$D$4:$D$500,"Breakdown",'Maintenance Log'!$C$4:$C$500,"&gt;="&amp;DATE(2026,5,1),'Maintenance Log'!$C$4:$C$500,"&lt;"&amp;DATE(2026,6,1))</f>
        <v>0</v>
      </c>
      <c r="M12" s="12">
        <f>COUNTIFS('Maintenance Log'!$B$4:$B$500,$A12,'Maintenance Log'!$D$4:$D$500,"Breakdown",'Maintenance Log'!$C$4:$C$500,"&gt;="&amp;DATE(2026,6,1),'Maintenance Log'!$C$4:$C$500,"&lt;"&amp;DATE(2026,7,1))</f>
        <v>0</v>
      </c>
      <c r="N12" s="12">
        <f>COUNTIFS('Maintenance Log'!$B$4:$B$500,$A12,'Maintenance Log'!$D$4:$D$500,"Breakdown",'Maintenance Log'!$C$4:$C$500,"&gt;="&amp;DATE(2026,7,1),'Maintenance Log'!$C$4:$C$500,"&lt;"&amp;DATE(2026,8,1))</f>
        <v>0</v>
      </c>
    </row>
    <row r="13" spans="1:14" x14ac:dyDescent="0.35">
      <c r="A13" s="15" t="s">
        <v>51</v>
      </c>
      <c r="B13" s="15" t="s">
        <v>47</v>
      </c>
      <c r="C13" s="15">
        <f>COUNTIFS('Maintenance Log'!$B$4:$B$500,$A13,'Maintenance Log'!$D$4:$D$500,"Breakdown",'Maintenance Log'!$C$4:$C$500,"&gt;="&amp;DATE(2025,8,1),'Maintenance Log'!$C$4:$C$500,"&lt;"&amp;DATE(2025,9,1))</f>
        <v>1</v>
      </c>
      <c r="D13" s="15">
        <f>COUNTIFS('Maintenance Log'!$B$4:$B$500,$A13,'Maintenance Log'!$D$4:$D$500,"Breakdown",'Maintenance Log'!$C$4:$C$500,"&gt;="&amp;DATE(2025,9,1),'Maintenance Log'!$C$4:$C$500,"&lt;"&amp;DATE(2025,10,1))</f>
        <v>0</v>
      </c>
      <c r="E13" s="15">
        <f>COUNTIFS('Maintenance Log'!$B$4:$B$500,$A13,'Maintenance Log'!$D$4:$D$500,"Breakdown",'Maintenance Log'!$C$4:$C$500,"&gt;="&amp;DATE(2025,10,1),'Maintenance Log'!$C$4:$C$500,"&lt;"&amp;DATE(2025,11,1))</f>
        <v>0</v>
      </c>
      <c r="F13" s="15">
        <f>COUNTIFS('Maintenance Log'!$B$4:$B$500,$A13,'Maintenance Log'!$D$4:$D$500,"Breakdown",'Maintenance Log'!$C$4:$C$500,"&gt;="&amp;DATE(2025,11,1),'Maintenance Log'!$C$4:$C$500,"&lt;"&amp;DATE(2025,12,1))</f>
        <v>0</v>
      </c>
      <c r="G13" s="15">
        <f>COUNTIFS('Maintenance Log'!$B$4:$B$500,$A13,'Maintenance Log'!$D$4:$D$500,"Breakdown",'Maintenance Log'!$C$4:$C$500,"&gt;="&amp;DATE(2025,12,1),'Maintenance Log'!$C$4:$C$500,"&lt;"&amp;DATE(2026,1,1))</f>
        <v>1</v>
      </c>
      <c r="H13" s="15">
        <f>COUNTIFS('Maintenance Log'!$B$4:$B$500,$A13,'Maintenance Log'!$D$4:$D$500,"Breakdown",'Maintenance Log'!$C$4:$C$500,"&gt;="&amp;DATE(2026,1,1),'Maintenance Log'!$C$4:$C$500,"&lt;"&amp;DATE(2026,2,1))</f>
        <v>0</v>
      </c>
      <c r="I13" s="15">
        <f>COUNTIFS('Maintenance Log'!$B$4:$B$500,$A13,'Maintenance Log'!$D$4:$D$500,"Breakdown",'Maintenance Log'!$C$4:$C$500,"&gt;="&amp;DATE(2026,2,1),'Maintenance Log'!$C$4:$C$500,"&lt;"&amp;DATE(2026,3,1))</f>
        <v>0</v>
      </c>
      <c r="J13" s="15">
        <f>COUNTIFS('Maintenance Log'!$B$4:$B$500,$A13,'Maintenance Log'!$D$4:$D$500,"Breakdown",'Maintenance Log'!$C$4:$C$500,"&gt;="&amp;DATE(2026,3,1),'Maintenance Log'!$C$4:$C$500,"&lt;"&amp;DATE(2026,4,1))</f>
        <v>1</v>
      </c>
      <c r="K13" s="15">
        <f>COUNTIFS('Maintenance Log'!$B$4:$B$500,$A13,'Maintenance Log'!$D$4:$D$500,"Breakdown",'Maintenance Log'!$C$4:$C$500,"&gt;="&amp;DATE(2026,4,1),'Maintenance Log'!$C$4:$C$500,"&lt;"&amp;DATE(2026,5,1))</f>
        <v>0</v>
      </c>
      <c r="L13" s="15">
        <f>COUNTIFS('Maintenance Log'!$B$4:$B$500,$A13,'Maintenance Log'!$D$4:$D$500,"Breakdown",'Maintenance Log'!$C$4:$C$500,"&gt;="&amp;DATE(2026,5,1),'Maintenance Log'!$C$4:$C$500,"&lt;"&amp;DATE(2026,6,1))</f>
        <v>0</v>
      </c>
      <c r="M13" s="15">
        <f>COUNTIFS('Maintenance Log'!$B$4:$B$500,$A13,'Maintenance Log'!$D$4:$D$500,"Breakdown",'Maintenance Log'!$C$4:$C$500,"&gt;="&amp;DATE(2026,6,1),'Maintenance Log'!$C$4:$C$500,"&lt;"&amp;DATE(2026,7,1))</f>
        <v>0</v>
      </c>
      <c r="N13" s="15">
        <f>COUNTIFS('Maintenance Log'!$B$4:$B$500,$A13,'Maintenance Log'!$D$4:$D$500,"Breakdown",'Maintenance Log'!$C$4:$C$500,"&gt;="&amp;DATE(2026,7,1),'Maintenance Log'!$C$4:$C$500,"&lt;"&amp;DATE(2026,8,1))</f>
        <v>0</v>
      </c>
    </row>
    <row r="14" spans="1:14" x14ac:dyDescent="0.35">
      <c r="A14" s="12" t="s">
        <v>53</v>
      </c>
      <c r="B14" s="12" t="s">
        <v>54</v>
      </c>
      <c r="C14" s="12">
        <f>COUNTIFS('Maintenance Log'!$B$4:$B$500,$A14,'Maintenance Log'!$D$4:$D$500,"Breakdown",'Maintenance Log'!$C$4:$C$500,"&gt;="&amp;DATE(2025,8,1),'Maintenance Log'!$C$4:$C$500,"&lt;"&amp;DATE(2025,9,1))</f>
        <v>0</v>
      </c>
      <c r="D14" s="12">
        <f>COUNTIFS('Maintenance Log'!$B$4:$B$500,$A14,'Maintenance Log'!$D$4:$D$500,"Breakdown",'Maintenance Log'!$C$4:$C$500,"&gt;="&amp;DATE(2025,9,1),'Maintenance Log'!$C$4:$C$500,"&lt;"&amp;DATE(2025,10,1))</f>
        <v>0</v>
      </c>
      <c r="E14" s="12">
        <f>COUNTIFS('Maintenance Log'!$B$4:$B$500,$A14,'Maintenance Log'!$D$4:$D$500,"Breakdown",'Maintenance Log'!$C$4:$C$500,"&gt;="&amp;DATE(2025,10,1),'Maintenance Log'!$C$4:$C$500,"&lt;"&amp;DATE(2025,11,1))</f>
        <v>0</v>
      </c>
      <c r="F14" s="12">
        <f>COUNTIFS('Maintenance Log'!$B$4:$B$500,$A14,'Maintenance Log'!$D$4:$D$500,"Breakdown",'Maintenance Log'!$C$4:$C$500,"&gt;="&amp;DATE(2025,11,1),'Maintenance Log'!$C$4:$C$500,"&lt;"&amp;DATE(2025,12,1))</f>
        <v>0</v>
      </c>
      <c r="G14" s="12">
        <f>COUNTIFS('Maintenance Log'!$B$4:$B$500,$A14,'Maintenance Log'!$D$4:$D$500,"Breakdown",'Maintenance Log'!$C$4:$C$500,"&gt;="&amp;DATE(2025,12,1),'Maintenance Log'!$C$4:$C$500,"&lt;"&amp;DATE(2026,1,1))</f>
        <v>0</v>
      </c>
      <c r="H14" s="12">
        <f>COUNTIFS('Maintenance Log'!$B$4:$B$500,$A14,'Maintenance Log'!$D$4:$D$500,"Breakdown",'Maintenance Log'!$C$4:$C$500,"&gt;="&amp;DATE(2026,1,1),'Maintenance Log'!$C$4:$C$500,"&lt;"&amp;DATE(2026,2,1))</f>
        <v>0</v>
      </c>
      <c r="I14" s="12">
        <f>COUNTIFS('Maintenance Log'!$B$4:$B$500,$A14,'Maintenance Log'!$D$4:$D$500,"Breakdown",'Maintenance Log'!$C$4:$C$500,"&gt;="&amp;DATE(2026,2,1),'Maintenance Log'!$C$4:$C$500,"&lt;"&amp;DATE(2026,3,1))</f>
        <v>0</v>
      </c>
      <c r="J14" s="12">
        <f>COUNTIFS('Maintenance Log'!$B$4:$B$500,$A14,'Maintenance Log'!$D$4:$D$500,"Breakdown",'Maintenance Log'!$C$4:$C$500,"&gt;="&amp;DATE(2026,3,1),'Maintenance Log'!$C$4:$C$500,"&lt;"&amp;DATE(2026,4,1))</f>
        <v>0</v>
      </c>
      <c r="K14" s="12">
        <f>COUNTIFS('Maintenance Log'!$B$4:$B$500,$A14,'Maintenance Log'!$D$4:$D$500,"Breakdown",'Maintenance Log'!$C$4:$C$500,"&gt;="&amp;DATE(2026,4,1),'Maintenance Log'!$C$4:$C$500,"&lt;"&amp;DATE(2026,5,1))</f>
        <v>0</v>
      </c>
      <c r="L14" s="12">
        <f>COUNTIFS('Maintenance Log'!$B$4:$B$500,$A14,'Maintenance Log'!$D$4:$D$500,"Breakdown",'Maintenance Log'!$C$4:$C$500,"&gt;="&amp;DATE(2026,5,1),'Maintenance Log'!$C$4:$C$500,"&lt;"&amp;DATE(2026,6,1))</f>
        <v>0</v>
      </c>
      <c r="M14" s="12">
        <f>COUNTIFS('Maintenance Log'!$B$4:$B$500,$A14,'Maintenance Log'!$D$4:$D$500,"Breakdown",'Maintenance Log'!$C$4:$C$500,"&gt;="&amp;DATE(2026,6,1),'Maintenance Log'!$C$4:$C$500,"&lt;"&amp;DATE(2026,7,1))</f>
        <v>0</v>
      </c>
      <c r="N14" s="12">
        <f>COUNTIFS('Maintenance Log'!$B$4:$B$500,$A14,'Maintenance Log'!$D$4:$D$500,"Breakdown",'Maintenance Log'!$C$4:$C$500,"&gt;="&amp;DATE(2026,7,1),'Maintenance Log'!$C$4:$C$500,"&lt;"&amp;DATE(2026,8,1))</f>
        <v>0</v>
      </c>
    </row>
    <row r="15" spans="1:14" x14ac:dyDescent="0.35">
      <c r="A15" s="15" t="s">
        <v>56</v>
      </c>
      <c r="B15" s="15" t="s">
        <v>54</v>
      </c>
      <c r="C15" s="15">
        <f>COUNTIFS('Maintenance Log'!$B$4:$B$500,$A15,'Maintenance Log'!$D$4:$D$500,"Breakdown",'Maintenance Log'!$C$4:$C$500,"&gt;="&amp;DATE(2025,8,1),'Maintenance Log'!$C$4:$C$500,"&lt;"&amp;DATE(2025,9,1))</f>
        <v>1</v>
      </c>
      <c r="D15" s="15">
        <f>COUNTIFS('Maintenance Log'!$B$4:$B$500,$A15,'Maintenance Log'!$D$4:$D$500,"Breakdown",'Maintenance Log'!$C$4:$C$500,"&gt;="&amp;DATE(2025,9,1),'Maintenance Log'!$C$4:$C$500,"&lt;"&amp;DATE(2025,10,1))</f>
        <v>0</v>
      </c>
      <c r="E15" s="15">
        <f>COUNTIFS('Maintenance Log'!$B$4:$B$500,$A15,'Maintenance Log'!$D$4:$D$500,"Breakdown",'Maintenance Log'!$C$4:$C$500,"&gt;="&amp;DATE(2025,10,1),'Maintenance Log'!$C$4:$C$500,"&lt;"&amp;DATE(2025,11,1))</f>
        <v>0</v>
      </c>
      <c r="F15" s="15">
        <f>COUNTIFS('Maintenance Log'!$B$4:$B$500,$A15,'Maintenance Log'!$D$4:$D$500,"Breakdown",'Maintenance Log'!$C$4:$C$500,"&gt;="&amp;DATE(2025,11,1),'Maintenance Log'!$C$4:$C$500,"&lt;"&amp;DATE(2025,12,1))</f>
        <v>0</v>
      </c>
      <c r="G15" s="15">
        <f>COUNTIFS('Maintenance Log'!$B$4:$B$500,$A15,'Maintenance Log'!$D$4:$D$500,"Breakdown",'Maintenance Log'!$C$4:$C$500,"&gt;="&amp;DATE(2025,12,1),'Maintenance Log'!$C$4:$C$500,"&lt;"&amp;DATE(2026,1,1))</f>
        <v>0</v>
      </c>
      <c r="H15" s="15">
        <f>COUNTIFS('Maintenance Log'!$B$4:$B$500,$A15,'Maintenance Log'!$D$4:$D$500,"Breakdown",'Maintenance Log'!$C$4:$C$500,"&gt;="&amp;DATE(2026,1,1),'Maintenance Log'!$C$4:$C$500,"&lt;"&amp;DATE(2026,2,1))</f>
        <v>1</v>
      </c>
      <c r="I15" s="15">
        <f>COUNTIFS('Maintenance Log'!$B$4:$B$500,$A15,'Maintenance Log'!$D$4:$D$500,"Breakdown",'Maintenance Log'!$C$4:$C$500,"&gt;="&amp;DATE(2026,2,1),'Maintenance Log'!$C$4:$C$500,"&lt;"&amp;DATE(2026,3,1))</f>
        <v>0</v>
      </c>
      <c r="J15" s="15">
        <f>COUNTIFS('Maintenance Log'!$B$4:$B$500,$A15,'Maintenance Log'!$D$4:$D$500,"Breakdown",'Maintenance Log'!$C$4:$C$500,"&gt;="&amp;DATE(2026,3,1),'Maintenance Log'!$C$4:$C$500,"&lt;"&amp;DATE(2026,4,1))</f>
        <v>0</v>
      </c>
      <c r="K15" s="15">
        <f>COUNTIFS('Maintenance Log'!$B$4:$B$500,$A15,'Maintenance Log'!$D$4:$D$500,"Breakdown",'Maintenance Log'!$C$4:$C$500,"&gt;="&amp;DATE(2026,4,1),'Maintenance Log'!$C$4:$C$500,"&lt;"&amp;DATE(2026,5,1))</f>
        <v>0</v>
      </c>
      <c r="L15" s="15">
        <f>COUNTIFS('Maintenance Log'!$B$4:$B$500,$A15,'Maintenance Log'!$D$4:$D$500,"Breakdown",'Maintenance Log'!$C$4:$C$500,"&gt;="&amp;DATE(2026,5,1),'Maintenance Log'!$C$4:$C$500,"&lt;"&amp;DATE(2026,6,1))</f>
        <v>0</v>
      </c>
      <c r="M15" s="15">
        <f>COUNTIFS('Maintenance Log'!$B$4:$B$500,$A15,'Maintenance Log'!$D$4:$D$500,"Breakdown",'Maintenance Log'!$C$4:$C$500,"&gt;="&amp;DATE(2026,6,1),'Maintenance Log'!$C$4:$C$500,"&lt;"&amp;DATE(2026,7,1))</f>
        <v>0</v>
      </c>
      <c r="N15" s="15">
        <f>COUNTIFS('Maintenance Log'!$B$4:$B$500,$A15,'Maintenance Log'!$D$4:$D$500,"Breakdown",'Maintenance Log'!$C$4:$C$500,"&gt;="&amp;DATE(2026,7,1),'Maintenance Log'!$C$4:$C$500,"&lt;"&amp;DATE(2026,8,1))</f>
        <v>0</v>
      </c>
    </row>
    <row r="16" spans="1:14" x14ac:dyDescent="0.35">
      <c r="A16" s="12" t="s">
        <v>58</v>
      </c>
      <c r="B16" s="12" t="s">
        <v>54</v>
      </c>
      <c r="C16" s="12">
        <f>COUNTIFS('Maintenance Log'!$B$4:$B$500,$A16,'Maintenance Log'!$D$4:$D$500,"Breakdown",'Maintenance Log'!$C$4:$C$500,"&gt;="&amp;DATE(2025,8,1),'Maintenance Log'!$C$4:$C$500,"&lt;"&amp;DATE(2025,9,1))</f>
        <v>0</v>
      </c>
      <c r="D16" s="12">
        <f>COUNTIFS('Maintenance Log'!$B$4:$B$500,$A16,'Maintenance Log'!$D$4:$D$500,"Breakdown",'Maintenance Log'!$C$4:$C$500,"&gt;="&amp;DATE(2025,9,1),'Maintenance Log'!$C$4:$C$500,"&lt;"&amp;DATE(2025,10,1))</f>
        <v>0</v>
      </c>
      <c r="E16" s="12">
        <f>COUNTIFS('Maintenance Log'!$B$4:$B$500,$A16,'Maintenance Log'!$D$4:$D$500,"Breakdown",'Maintenance Log'!$C$4:$C$500,"&gt;="&amp;DATE(2025,10,1),'Maintenance Log'!$C$4:$C$500,"&lt;"&amp;DATE(2025,11,1))</f>
        <v>1</v>
      </c>
      <c r="F16" s="12">
        <f>COUNTIFS('Maintenance Log'!$B$4:$B$500,$A16,'Maintenance Log'!$D$4:$D$500,"Breakdown",'Maintenance Log'!$C$4:$C$500,"&gt;="&amp;DATE(2025,11,1),'Maintenance Log'!$C$4:$C$500,"&lt;"&amp;DATE(2025,12,1))</f>
        <v>1</v>
      </c>
      <c r="G16" s="12">
        <f>COUNTIFS('Maintenance Log'!$B$4:$B$500,$A16,'Maintenance Log'!$D$4:$D$500,"Breakdown",'Maintenance Log'!$C$4:$C$500,"&gt;="&amp;DATE(2025,12,1),'Maintenance Log'!$C$4:$C$500,"&lt;"&amp;DATE(2026,1,1))</f>
        <v>0</v>
      </c>
      <c r="H16" s="12">
        <f>COUNTIFS('Maintenance Log'!$B$4:$B$500,$A16,'Maintenance Log'!$D$4:$D$500,"Breakdown",'Maintenance Log'!$C$4:$C$500,"&gt;="&amp;DATE(2026,1,1),'Maintenance Log'!$C$4:$C$500,"&lt;"&amp;DATE(2026,2,1))</f>
        <v>0</v>
      </c>
      <c r="I16" s="12">
        <f>COUNTIFS('Maintenance Log'!$B$4:$B$500,$A16,'Maintenance Log'!$D$4:$D$500,"Breakdown",'Maintenance Log'!$C$4:$C$500,"&gt;="&amp;DATE(2026,2,1),'Maintenance Log'!$C$4:$C$500,"&lt;"&amp;DATE(2026,3,1))</f>
        <v>0</v>
      </c>
      <c r="J16" s="12">
        <f>COUNTIFS('Maintenance Log'!$B$4:$B$500,$A16,'Maintenance Log'!$D$4:$D$500,"Breakdown",'Maintenance Log'!$C$4:$C$500,"&gt;="&amp;DATE(2026,3,1),'Maintenance Log'!$C$4:$C$500,"&lt;"&amp;DATE(2026,4,1))</f>
        <v>1</v>
      </c>
      <c r="K16" s="12">
        <f>COUNTIFS('Maintenance Log'!$B$4:$B$500,$A16,'Maintenance Log'!$D$4:$D$500,"Breakdown",'Maintenance Log'!$C$4:$C$500,"&gt;="&amp;DATE(2026,4,1),'Maintenance Log'!$C$4:$C$500,"&lt;"&amp;DATE(2026,5,1))</f>
        <v>1</v>
      </c>
      <c r="L16" s="12">
        <f>COUNTIFS('Maintenance Log'!$B$4:$B$500,$A16,'Maintenance Log'!$D$4:$D$500,"Breakdown",'Maintenance Log'!$C$4:$C$500,"&gt;="&amp;DATE(2026,5,1),'Maintenance Log'!$C$4:$C$500,"&lt;"&amp;DATE(2026,6,1))</f>
        <v>0</v>
      </c>
      <c r="M16" s="12">
        <f>COUNTIFS('Maintenance Log'!$B$4:$B$500,$A16,'Maintenance Log'!$D$4:$D$500,"Breakdown",'Maintenance Log'!$C$4:$C$500,"&gt;="&amp;DATE(2026,6,1),'Maintenance Log'!$C$4:$C$500,"&lt;"&amp;DATE(2026,7,1))</f>
        <v>0</v>
      </c>
      <c r="N16" s="12">
        <f>COUNTIFS('Maintenance Log'!$B$4:$B$500,$A16,'Maintenance Log'!$D$4:$D$500,"Breakdown",'Maintenance Log'!$C$4:$C$500,"&gt;="&amp;DATE(2026,7,1),'Maintenance Log'!$C$4:$C$500,"&lt;"&amp;DATE(2026,8,1))</f>
        <v>0</v>
      </c>
    </row>
    <row r="17" spans="1:14" x14ac:dyDescent="0.35">
      <c r="A17" s="15" t="s">
        <v>60</v>
      </c>
      <c r="B17" s="15" t="s">
        <v>61</v>
      </c>
      <c r="C17" s="15">
        <f>COUNTIFS('Maintenance Log'!$B$4:$B$500,$A17,'Maintenance Log'!$D$4:$D$500,"Breakdown",'Maintenance Log'!$C$4:$C$500,"&gt;="&amp;DATE(2025,8,1),'Maintenance Log'!$C$4:$C$500,"&lt;"&amp;DATE(2025,9,1))</f>
        <v>0</v>
      </c>
      <c r="D17" s="15">
        <f>COUNTIFS('Maintenance Log'!$B$4:$B$500,$A17,'Maintenance Log'!$D$4:$D$500,"Breakdown",'Maintenance Log'!$C$4:$C$500,"&gt;="&amp;DATE(2025,9,1),'Maintenance Log'!$C$4:$C$500,"&lt;"&amp;DATE(2025,10,1))</f>
        <v>0</v>
      </c>
      <c r="E17" s="15">
        <f>COUNTIFS('Maintenance Log'!$B$4:$B$500,$A17,'Maintenance Log'!$D$4:$D$500,"Breakdown",'Maintenance Log'!$C$4:$C$500,"&gt;="&amp;DATE(2025,10,1),'Maintenance Log'!$C$4:$C$500,"&lt;"&amp;DATE(2025,11,1))</f>
        <v>0</v>
      </c>
      <c r="F17" s="15">
        <f>COUNTIFS('Maintenance Log'!$B$4:$B$500,$A17,'Maintenance Log'!$D$4:$D$500,"Breakdown",'Maintenance Log'!$C$4:$C$500,"&gt;="&amp;DATE(2025,11,1),'Maintenance Log'!$C$4:$C$500,"&lt;"&amp;DATE(2025,12,1))</f>
        <v>0</v>
      </c>
      <c r="G17" s="15">
        <f>COUNTIFS('Maintenance Log'!$B$4:$B$500,$A17,'Maintenance Log'!$D$4:$D$500,"Breakdown",'Maintenance Log'!$C$4:$C$500,"&gt;="&amp;DATE(2025,12,1),'Maintenance Log'!$C$4:$C$500,"&lt;"&amp;DATE(2026,1,1))</f>
        <v>0</v>
      </c>
      <c r="H17" s="15">
        <f>COUNTIFS('Maintenance Log'!$B$4:$B$500,$A17,'Maintenance Log'!$D$4:$D$500,"Breakdown",'Maintenance Log'!$C$4:$C$500,"&gt;="&amp;DATE(2026,1,1),'Maintenance Log'!$C$4:$C$500,"&lt;"&amp;DATE(2026,2,1))</f>
        <v>0</v>
      </c>
      <c r="I17" s="15">
        <f>COUNTIFS('Maintenance Log'!$B$4:$B$500,$A17,'Maintenance Log'!$D$4:$D$500,"Breakdown",'Maintenance Log'!$C$4:$C$500,"&gt;="&amp;DATE(2026,2,1),'Maintenance Log'!$C$4:$C$500,"&lt;"&amp;DATE(2026,3,1))</f>
        <v>0</v>
      </c>
      <c r="J17" s="15">
        <f>COUNTIFS('Maintenance Log'!$B$4:$B$500,$A17,'Maintenance Log'!$D$4:$D$500,"Breakdown",'Maintenance Log'!$C$4:$C$500,"&gt;="&amp;DATE(2026,3,1),'Maintenance Log'!$C$4:$C$500,"&lt;"&amp;DATE(2026,4,1))</f>
        <v>0</v>
      </c>
      <c r="K17" s="15">
        <f>COUNTIFS('Maintenance Log'!$B$4:$B$500,$A17,'Maintenance Log'!$D$4:$D$500,"Breakdown",'Maintenance Log'!$C$4:$C$500,"&gt;="&amp;DATE(2026,4,1),'Maintenance Log'!$C$4:$C$500,"&lt;"&amp;DATE(2026,5,1))</f>
        <v>0</v>
      </c>
      <c r="L17" s="15">
        <f>COUNTIFS('Maintenance Log'!$B$4:$B$500,$A17,'Maintenance Log'!$D$4:$D$500,"Breakdown",'Maintenance Log'!$C$4:$C$500,"&gt;="&amp;DATE(2026,5,1),'Maintenance Log'!$C$4:$C$500,"&lt;"&amp;DATE(2026,6,1))</f>
        <v>0</v>
      </c>
      <c r="M17" s="15">
        <f>COUNTIFS('Maintenance Log'!$B$4:$B$500,$A17,'Maintenance Log'!$D$4:$D$500,"Breakdown",'Maintenance Log'!$C$4:$C$500,"&gt;="&amp;DATE(2026,6,1),'Maintenance Log'!$C$4:$C$500,"&lt;"&amp;DATE(2026,7,1))</f>
        <v>0</v>
      </c>
      <c r="N17" s="15">
        <f>COUNTIFS('Maintenance Log'!$B$4:$B$500,$A17,'Maintenance Log'!$D$4:$D$500,"Breakdown",'Maintenance Log'!$C$4:$C$500,"&gt;="&amp;DATE(2026,7,1),'Maintenance Log'!$C$4:$C$500,"&lt;"&amp;DATE(2026,8,1))</f>
        <v>0</v>
      </c>
    </row>
    <row r="18" spans="1:14" x14ac:dyDescent="0.35">
      <c r="A18" s="12" t="s">
        <v>64</v>
      </c>
      <c r="B18" s="12" t="s">
        <v>61</v>
      </c>
      <c r="C18" s="12">
        <f>COUNTIFS('Maintenance Log'!$B$4:$B$500,$A18,'Maintenance Log'!$D$4:$D$500,"Breakdown",'Maintenance Log'!$C$4:$C$500,"&gt;="&amp;DATE(2025,8,1),'Maintenance Log'!$C$4:$C$500,"&lt;"&amp;DATE(2025,9,1))</f>
        <v>0</v>
      </c>
      <c r="D18" s="12">
        <f>COUNTIFS('Maintenance Log'!$B$4:$B$500,$A18,'Maintenance Log'!$D$4:$D$500,"Breakdown",'Maintenance Log'!$C$4:$C$500,"&gt;="&amp;DATE(2025,9,1),'Maintenance Log'!$C$4:$C$500,"&lt;"&amp;DATE(2025,10,1))</f>
        <v>0</v>
      </c>
      <c r="E18" s="12">
        <f>COUNTIFS('Maintenance Log'!$B$4:$B$500,$A18,'Maintenance Log'!$D$4:$D$500,"Breakdown",'Maintenance Log'!$C$4:$C$500,"&gt;="&amp;DATE(2025,10,1),'Maintenance Log'!$C$4:$C$500,"&lt;"&amp;DATE(2025,11,1))</f>
        <v>0</v>
      </c>
      <c r="F18" s="12">
        <f>COUNTIFS('Maintenance Log'!$B$4:$B$500,$A18,'Maintenance Log'!$D$4:$D$500,"Breakdown",'Maintenance Log'!$C$4:$C$500,"&gt;="&amp;DATE(2025,11,1),'Maintenance Log'!$C$4:$C$500,"&lt;"&amp;DATE(2025,12,1))</f>
        <v>0</v>
      </c>
      <c r="G18" s="12">
        <f>COUNTIFS('Maintenance Log'!$B$4:$B$500,$A18,'Maintenance Log'!$D$4:$D$500,"Breakdown",'Maintenance Log'!$C$4:$C$500,"&gt;="&amp;DATE(2025,12,1),'Maintenance Log'!$C$4:$C$500,"&lt;"&amp;DATE(2026,1,1))</f>
        <v>0</v>
      </c>
      <c r="H18" s="12">
        <f>COUNTIFS('Maintenance Log'!$B$4:$B$500,$A18,'Maintenance Log'!$D$4:$D$500,"Breakdown",'Maintenance Log'!$C$4:$C$500,"&gt;="&amp;DATE(2026,1,1),'Maintenance Log'!$C$4:$C$500,"&lt;"&amp;DATE(2026,2,1))</f>
        <v>0</v>
      </c>
      <c r="I18" s="12">
        <f>COUNTIFS('Maintenance Log'!$B$4:$B$500,$A18,'Maintenance Log'!$D$4:$D$500,"Breakdown",'Maintenance Log'!$C$4:$C$500,"&gt;="&amp;DATE(2026,2,1),'Maintenance Log'!$C$4:$C$500,"&lt;"&amp;DATE(2026,3,1))</f>
        <v>0</v>
      </c>
      <c r="J18" s="12">
        <f>COUNTIFS('Maintenance Log'!$B$4:$B$500,$A18,'Maintenance Log'!$D$4:$D$500,"Breakdown",'Maintenance Log'!$C$4:$C$500,"&gt;="&amp;DATE(2026,3,1),'Maintenance Log'!$C$4:$C$500,"&lt;"&amp;DATE(2026,4,1))</f>
        <v>1</v>
      </c>
      <c r="K18" s="12">
        <f>COUNTIFS('Maintenance Log'!$B$4:$B$500,$A18,'Maintenance Log'!$D$4:$D$500,"Breakdown",'Maintenance Log'!$C$4:$C$500,"&gt;="&amp;DATE(2026,4,1),'Maintenance Log'!$C$4:$C$500,"&lt;"&amp;DATE(2026,5,1))</f>
        <v>0</v>
      </c>
      <c r="L18" s="12">
        <f>COUNTIFS('Maintenance Log'!$B$4:$B$500,$A18,'Maintenance Log'!$D$4:$D$500,"Breakdown",'Maintenance Log'!$C$4:$C$500,"&gt;="&amp;DATE(2026,5,1),'Maintenance Log'!$C$4:$C$500,"&lt;"&amp;DATE(2026,6,1))</f>
        <v>0</v>
      </c>
      <c r="M18" s="12">
        <f>COUNTIFS('Maintenance Log'!$B$4:$B$500,$A18,'Maintenance Log'!$D$4:$D$500,"Breakdown",'Maintenance Log'!$C$4:$C$500,"&gt;="&amp;DATE(2026,6,1),'Maintenance Log'!$C$4:$C$500,"&lt;"&amp;DATE(2026,7,1))</f>
        <v>0</v>
      </c>
      <c r="N18" s="12">
        <f>COUNTIFS('Maintenance Log'!$B$4:$B$500,$A18,'Maintenance Log'!$D$4:$D$500,"Breakdown",'Maintenance Log'!$C$4:$C$500,"&gt;="&amp;DATE(2026,7,1),'Maintenance Log'!$C$4:$C$500,"&lt;"&amp;DATE(2026,8,1))</f>
        <v>0</v>
      </c>
    </row>
    <row r="19" spans="1:14" x14ac:dyDescent="0.35">
      <c r="A19" s="15" t="s">
        <v>66</v>
      </c>
      <c r="B19" s="15" t="s">
        <v>61</v>
      </c>
      <c r="C19" s="15">
        <f>COUNTIFS('Maintenance Log'!$B$4:$B$500,$A19,'Maintenance Log'!$D$4:$D$500,"Breakdown",'Maintenance Log'!$C$4:$C$500,"&gt;="&amp;DATE(2025,8,1),'Maintenance Log'!$C$4:$C$500,"&lt;"&amp;DATE(2025,9,1))</f>
        <v>1</v>
      </c>
      <c r="D19" s="15">
        <f>COUNTIFS('Maintenance Log'!$B$4:$B$500,$A19,'Maintenance Log'!$D$4:$D$500,"Breakdown",'Maintenance Log'!$C$4:$C$500,"&gt;="&amp;DATE(2025,9,1),'Maintenance Log'!$C$4:$C$500,"&lt;"&amp;DATE(2025,10,1))</f>
        <v>0</v>
      </c>
      <c r="E19" s="15">
        <f>COUNTIFS('Maintenance Log'!$B$4:$B$500,$A19,'Maintenance Log'!$D$4:$D$500,"Breakdown",'Maintenance Log'!$C$4:$C$500,"&gt;="&amp;DATE(2025,10,1),'Maintenance Log'!$C$4:$C$500,"&lt;"&amp;DATE(2025,11,1))</f>
        <v>0</v>
      </c>
      <c r="F19" s="15">
        <f>COUNTIFS('Maintenance Log'!$B$4:$B$500,$A19,'Maintenance Log'!$D$4:$D$500,"Breakdown",'Maintenance Log'!$C$4:$C$500,"&gt;="&amp;DATE(2025,11,1),'Maintenance Log'!$C$4:$C$500,"&lt;"&amp;DATE(2025,12,1))</f>
        <v>0</v>
      </c>
      <c r="G19" s="15">
        <f>COUNTIFS('Maintenance Log'!$B$4:$B$500,$A19,'Maintenance Log'!$D$4:$D$500,"Breakdown",'Maintenance Log'!$C$4:$C$500,"&gt;="&amp;DATE(2025,12,1),'Maintenance Log'!$C$4:$C$500,"&lt;"&amp;DATE(2026,1,1))</f>
        <v>0</v>
      </c>
      <c r="H19" s="15">
        <f>COUNTIFS('Maintenance Log'!$B$4:$B$500,$A19,'Maintenance Log'!$D$4:$D$500,"Breakdown",'Maintenance Log'!$C$4:$C$500,"&gt;="&amp;DATE(2026,1,1),'Maintenance Log'!$C$4:$C$500,"&lt;"&amp;DATE(2026,2,1))</f>
        <v>0</v>
      </c>
      <c r="I19" s="15">
        <f>COUNTIFS('Maintenance Log'!$B$4:$B$500,$A19,'Maintenance Log'!$D$4:$D$500,"Breakdown",'Maintenance Log'!$C$4:$C$500,"&gt;="&amp;DATE(2026,2,1),'Maintenance Log'!$C$4:$C$500,"&lt;"&amp;DATE(2026,3,1))</f>
        <v>0</v>
      </c>
      <c r="J19" s="15">
        <f>COUNTIFS('Maintenance Log'!$B$4:$B$500,$A19,'Maintenance Log'!$D$4:$D$500,"Breakdown",'Maintenance Log'!$C$4:$C$500,"&gt;="&amp;DATE(2026,3,1),'Maintenance Log'!$C$4:$C$500,"&lt;"&amp;DATE(2026,4,1))</f>
        <v>0</v>
      </c>
      <c r="K19" s="15">
        <f>COUNTIFS('Maintenance Log'!$B$4:$B$500,$A19,'Maintenance Log'!$D$4:$D$500,"Breakdown",'Maintenance Log'!$C$4:$C$500,"&gt;="&amp;DATE(2026,4,1),'Maintenance Log'!$C$4:$C$500,"&lt;"&amp;DATE(2026,5,1))</f>
        <v>1</v>
      </c>
      <c r="L19" s="15">
        <f>COUNTIFS('Maintenance Log'!$B$4:$B$500,$A19,'Maintenance Log'!$D$4:$D$500,"Breakdown",'Maintenance Log'!$C$4:$C$500,"&gt;="&amp;DATE(2026,5,1),'Maintenance Log'!$C$4:$C$500,"&lt;"&amp;DATE(2026,6,1))</f>
        <v>0</v>
      </c>
      <c r="M19" s="15">
        <f>COUNTIFS('Maintenance Log'!$B$4:$B$500,$A19,'Maintenance Log'!$D$4:$D$500,"Breakdown",'Maintenance Log'!$C$4:$C$500,"&gt;="&amp;DATE(2026,6,1),'Maintenance Log'!$C$4:$C$500,"&lt;"&amp;DATE(2026,7,1))</f>
        <v>0</v>
      </c>
      <c r="N19" s="15">
        <f>COUNTIFS('Maintenance Log'!$B$4:$B$500,$A19,'Maintenance Log'!$D$4:$D$500,"Breakdown",'Maintenance Log'!$C$4:$C$500,"&gt;="&amp;DATE(2026,7,1),'Maintenance Log'!$C$4:$C$500,"&lt;"&amp;DATE(2026,8,1))</f>
        <v>0</v>
      </c>
    </row>
    <row r="20" spans="1:14" x14ac:dyDescent="0.35">
      <c r="A20" s="12" t="s">
        <v>68</v>
      </c>
      <c r="B20" s="12" t="s">
        <v>69</v>
      </c>
      <c r="C20" s="12">
        <f>COUNTIFS('Maintenance Log'!$B$4:$B$500,$A20,'Maintenance Log'!$D$4:$D$500,"Breakdown",'Maintenance Log'!$C$4:$C$500,"&gt;="&amp;DATE(2025,8,1),'Maintenance Log'!$C$4:$C$500,"&lt;"&amp;DATE(2025,9,1))</f>
        <v>0</v>
      </c>
      <c r="D20" s="12">
        <f>COUNTIFS('Maintenance Log'!$B$4:$B$500,$A20,'Maintenance Log'!$D$4:$D$500,"Breakdown",'Maintenance Log'!$C$4:$C$500,"&gt;="&amp;DATE(2025,9,1),'Maintenance Log'!$C$4:$C$500,"&lt;"&amp;DATE(2025,10,1))</f>
        <v>0</v>
      </c>
      <c r="E20" s="12">
        <f>COUNTIFS('Maintenance Log'!$B$4:$B$500,$A20,'Maintenance Log'!$D$4:$D$500,"Breakdown",'Maintenance Log'!$C$4:$C$500,"&gt;="&amp;DATE(2025,10,1),'Maintenance Log'!$C$4:$C$500,"&lt;"&amp;DATE(2025,11,1))</f>
        <v>0</v>
      </c>
      <c r="F20" s="12">
        <f>COUNTIFS('Maintenance Log'!$B$4:$B$500,$A20,'Maintenance Log'!$D$4:$D$500,"Breakdown",'Maintenance Log'!$C$4:$C$500,"&gt;="&amp;DATE(2025,11,1),'Maintenance Log'!$C$4:$C$500,"&lt;"&amp;DATE(2025,12,1))</f>
        <v>0</v>
      </c>
      <c r="G20" s="12">
        <f>COUNTIFS('Maintenance Log'!$B$4:$B$500,$A20,'Maintenance Log'!$D$4:$D$500,"Breakdown",'Maintenance Log'!$C$4:$C$500,"&gt;="&amp;DATE(2025,12,1),'Maintenance Log'!$C$4:$C$500,"&lt;"&amp;DATE(2026,1,1))</f>
        <v>0</v>
      </c>
      <c r="H20" s="12">
        <f>COUNTIFS('Maintenance Log'!$B$4:$B$500,$A20,'Maintenance Log'!$D$4:$D$500,"Breakdown",'Maintenance Log'!$C$4:$C$500,"&gt;="&amp;DATE(2026,1,1),'Maintenance Log'!$C$4:$C$500,"&lt;"&amp;DATE(2026,2,1))</f>
        <v>0</v>
      </c>
      <c r="I20" s="12">
        <f>COUNTIFS('Maintenance Log'!$B$4:$B$500,$A20,'Maintenance Log'!$D$4:$D$500,"Breakdown",'Maintenance Log'!$C$4:$C$500,"&gt;="&amp;DATE(2026,2,1),'Maintenance Log'!$C$4:$C$500,"&lt;"&amp;DATE(2026,3,1))</f>
        <v>0</v>
      </c>
      <c r="J20" s="12">
        <f>COUNTIFS('Maintenance Log'!$B$4:$B$500,$A20,'Maintenance Log'!$D$4:$D$500,"Breakdown",'Maintenance Log'!$C$4:$C$500,"&gt;="&amp;DATE(2026,3,1),'Maintenance Log'!$C$4:$C$500,"&lt;"&amp;DATE(2026,4,1))</f>
        <v>0</v>
      </c>
      <c r="K20" s="12">
        <f>COUNTIFS('Maintenance Log'!$B$4:$B$500,$A20,'Maintenance Log'!$D$4:$D$500,"Breakdown",'Maintenance Log'!$C$4:$C$500,"&gt;="&amp;DATE(2026,4,1),'Maintenance Log'!$C$4:$C$500,"&lt;"&amp;DATE(2026,5,1))</f>
        <v>0</v>
      </c>
      <c r="L20" s="12">
        <f>COUNTIFS('Maintenance Log'!$B$4:$B$500,$A20,'Maintenance Log'!$D$4:$D$500,"Breakdown",'Maintenance Log'!$C$4:$C$500,"&gt;="&amp;DATE(2026,5,1),'Maintenance Log'!$C$4:$C$500,"&lt;"&amp;DATE(2026,6,1))</f>
        <v>0</v>
      </c>
      <c r="M20" s="12">
        <f>COUNTIFS('Maintenance Log'!$B$4:$B$500,$A20,'Maintenance Log'!$D$4:$D$500,"Breakdown",'Maintenance Log'!$C$4:$C$500,"&gt;="&amp;DATE(2026,6,1),'Maintenance Log'!$C$4:$C$500,"&lt;"&amp;DATE(2026,7,1))</f>
        <v>0</v>
      </c>
      <c r="N20" s="12">
        <f>COUNTIFS('Maintenance Log'!$B$4:$B$500,$A20,'Maintenance Log'!$D$4:$D$500,"Breakdown",'Maintenance Log'!$C$4:$C$500,"&gt;="&amp;DATE(2026,7,1),'Maintenance Log'!$C$4:$C$500,"&lt;"&amp;DATE(2026,8,1))</f>
        <v>0</v>
      </c>
    </row>
    <row r="21" spans="1:14" x14ac:dyDescent="0.35">
      <c r="A21" s="15" t="s">
        <v>72</v>
      </c>
      <c r="B21" s="15" t="s">
        <v>69</v>
      </c>
      <c r="C21" s="15">
        <f>COUNTIFS('Maintenance Log'!$B$4:$B$500,$A21,'Maintenance Log'!$D$4:$D$500,"Breakdown",'Maintenance Log'!$C$4:$C$500,"&gt;="&amp;DATE(2025,8,1),'Maintenance Log'!$C$4:$C$500,"&lt;"&amp;DATE(2025,9,1))</f>
        <v>0</v>
      </c>
      <c r="D21" s="15">
        <f>COUNTIFS('Maintenance Log'!$B$4:$B$500,$A21,'Maintenance Log'!$D$4:$D$500,"Breakdown",'Maintenance Log'!$C$4:$C$500,"&gt;="&amp;DATE(2025,9,1),'Maintenance Log'!$C$4:$C$500,"&lt;"&amp;DATE(2025,10,1))</f>
        <v>0</v>
      </c>
      <c r="E21" s="15">
        <f>COUNTIFS('Maintenance Log'!$B$4:$B$500,$A21,'Maintenance Log'!$D$4:$D$500,"Breakdown",'Maintenance Log'!$C$4:$C$500,"&gt;="&amp;DATE(2025,10,1),'Maintenance Log'!$C$4:$C$500,"&lt;"&amp;DATE(2025,11,1))</f>
        <v>0</v>
      </c>
      <c r="F21" s="15">
        <f>COUNTIFS('Maintenance Log'!$B$4:$B$500,$A21,'Maintenance Log'!$D$4:$D$500,"Breakdown",'Maintenance Log'!$C$4:$C$500,"&gt;="&amp;DATE(2025,11,1),'Maintenance Log'!$C$4:$C$500,"&lt;"&amp;DATE(2025,12,1))</f>
        <v>0</v>
      </c>
      <c r="G21" s="15">
        <f>COUNTIFS('Maintenance Log'!$B$4:$B$500,$A21,'Maintenance Log'!$D$4:$D$500,"Breakdown",'Maintenance Log'!$C$4:$C$500,"&gt;="&amp;DATE(2025,12,1),'Maintenance Log'!$C$4:$C$500,"&lt;"&amp;DATE(2026,1,1))</f>
        <v>0</v>
      </c>
      <c r="H21" s="15">
        <f>COUNTIFS('Maintenance Log'!$B$4:$B$500,$A21,'Maintenance Log'!$D$4:$D$500,"Breakdown",'Maintenance Log'!$C$4:$C$500,"&gt;="&amp;DATE(2026,1,1),'Maintenance Log'!$C$4:$C$500,"&lt;"&amp;DATE(2026,2,1))</f>
        <v>0</v>
      </c>
      <c r="I21" s="15">
        <f>COUNTIFS('Maintenance Log'!$B$4:$B$500,$A21,'Maintenance Log'!$D$4:$D$500,"Breakdown",'Maintenance Log'!$C$4:$C$500,"&gt;="&amp;DATE(2026,2,1),'Maintenance Log'!$C$4:$C$500,"&lt;"&amp;DATE(2026,3,1))</f>
        <v>0</v>
      </c>
      <c r="J21" s="15">
        <f>COUNTIFS('Maintenance Log'!$B$4:$B$500,$A21,'Maintenance Log'!$D$4:$D$500,"Breakdown",'Maintenance Log'!$C$4:$C$500,"&gt;="&amp;DATE(2026,3,1),'Maintenance Log'!$C$4:$C$500,"&lt;"&amp;DATE(2026,4,1))</f>
        <v>0</v>
      </c>
      <c r="K21" s="15">
        <f>COUNTIFS('Maintenance Log'!$B$4:$B$500,$A21,'Maintenance Log'!$D$4:$D$500,"Breakdown",'Maintenance Log'!$C$4:$C$500,"&gt;="&amp;DATE(2026,4,1),'Maintenance Log'!$C$4:$C$500,"&lt;"&amp;DATE(2026,5,1))</f>
        <v>0</v>
      </c>
      <c r="L21" s="15">
        <f>COUNTIFS('Maintenance Log'!$B$4:$B$500,$A21,'Maintenance Log'!$D$4:$D$500,"Breakdown",'Maintenance Log'!$C$4:$C$500,"&gt;="&amp;DATE(2026,5,1),'Maintenance Log'!$C$4:$C$500,"&lt;"&amp;DATE(2026,6,1))</f>
        <v>1</v>
      </c>
      <c r="M21" s="15">
        <f>COUNTIFS('Maintenance Log'!$B$4:$B$500,$A21,'Maintenance Log'!$D$4:$D$500,"Breakdown",'Maintenance Log'!$C$4:$C$500,"&gt;="&amp;DATE(2026,6,1),'Maintenance Log'!$C$4:$C$500,"&lt;"&amp;DATE(2026,7,1))</f>
        <v>0</v>
      </c>
      <c r="N21" s="15">
        <f>COUNTIFS('Maintenance Log'!$B$4:$B$500,$A21,'Maintenance Log'!$D$4:$D$500,"Breakdown",'Maintenance Log'!$C$4:$C$500,"&gt;="&amp;DATE(2026,7,1),'Maintenance Log'!$C$4:$C$500,"&lt;"&amp;DATE(2026,8,1))</f>
        <v>0</v>
      </c>
    </row>
    <row r="22" spans="1:14" x14ac:dyDescent="0.35">
      <c r="A22" s="12" t="s">
        <v>74</v>
      </c>
      <c r="B22" s="12" t="s">
        <v>69</v>
      </c>
      <c r="C22" s="12">
        <f>COUNTIFS('Maintenance Log'!$B$4:$B$500,$A22,'Maintenance Log'!$D$4:$D$500,"Breakdown",'Maintenance Log'!$C$4:$C$500,"&gt;="&amp;DATE(2025,8,1),'Maintenance Log'!$C$4:$C$500,"&lt;"&amp;DATE(2025,9,1))</f>
        <v>0</v>
      </c>
      <c r="D22" s="12">
        <f>COUNTIFS('Maintenance Log'!$B$4:$B$500,$A22,'Maintenance Log'!$D$4:$D$500,"Breakdown",'Maintenance Log'!$C$4:$C$500,"&gt;="&amp;DATE(2025,9,1),'Maintenance Log'!$C$4:$C$500,"&lt;"&amp;DATE(2025,10,1))</f>
        <v>1</v>
      </c>
      <c r="E22" s="12">
        <f>COUNTIFS('Maintenance Log'!$B$4:$B$500,$A22,'Maintenance Log'!$D$4:$D$500,"Breakdown",'Maintenance Log'!$C$4:$C$500,"&gt;="&amp;DATE(2025,10,1),'Maintenance Log'!$C$4:$C$500,"&lt;"&amp;DATE(2025,11,1))</f>
        <v>0</v>
      </c>
      <c r="F22" s="12">
        <f>COUNTIFS('Maintenance Log'!$B$4:$B$500,$A22,'Maintenance Log'!$D$4:$D$500,"Breakdown",'Maintenance Log'!$C$4:$C$500,"&gt;="&amp;DATE(2025,11,1),'Maintenance Log'!$C$4:$C$500,"&lt;"&amp;DATE(2025,12,1))</f>
        <v>0</v>
      </c>
      <c r="G22" s="12">
        <f>COUNTIFS('Maintenance Log'!$B$4:$B$500,$A22,'Maintenance Log'!$D$4:$D$500,"Breakdown",'Maintenance Log'!$C$4:$C$500,"&gt;="&amp;DATE(2025,12,1),'Maintenance Log'!$C$4:$C$500,"&lt;"&amp;DATE(2026,1,1))</f>
        <v>0</v>
      </c>
      <c r="H22" s="12">
        <f>COUNTIFS('Maintenance Log'!$B$4:$B$500,$A22,'Maintenance Log'!$D$4:$D$500,"Breakdown",'Maintenance Log'!$C$4:$C$500,"&gt;="&amp;DATE(2026,1,1),'Maintenance Log'!$C$4:$C$500,"&lt;"&amp;DATE(2026,2,1))</f>
        <v>0</v>
      </c>
      <c r="I22" s="12">
        <f>COUNTIFS('Maintenance Log'!$B$4:$B$500,$A22,'Maintenance Log'!$D$4:$D$500,"Breakdown",'Maintenance Log'!$C$4:$C$500,"&gt;="&amp;DATE(2026,2,1),'Maintenance Log'!$C$4:$C$500,"&lt;"&amp;DATE(2026,3,1))</f>
        <v>0</v>
      </c>
      <c r="J22" s="12">
        <f>COUNTIFS('Maintenance Log'!$B$4:$B$500,$A22,'Maintenance Log'!$D$4:$D$500,"Breakdown",'Maintenance Log'!$C$4:$C$500,"&gt;="&amp;DATE(2026,3,1),'Maintenance Log'!$C$4:$C$500,"&lt;"&amp;DATE(2026,4,1))</f>
        <v>1</v>
      </c>
      <c r="K22" s="12">
        <f>COUNTIFS('Maintenance Log'!$B$4:$B$500,$A22,'Maintenance Log'!$D$4:$D$500,"Breakdown",'Maintenance Log'!$C$4:$C$500,"&gt;="&amp;DATE(2026,4,1),'Maintenance Log'!$C$4:$C$500,"&lt;"&amp;DATE(2026,5,1))</f>
        <v>0</v>
      </c>
      <c r="L22" s="12">
        <f>COUNTIFS('Maintenance Log'!$B$4:$B$500,$A22,'Maintenance Log'!$D$4:$D$500,"Breakdown",'Maintenance Log'!$C$4:$C$500,"&gt;="&amp;DATE(2026,5,1),'Maintenance Log'!$C$4:$C$500,"&lt;"&amp;DATE(2026,6,1))</f>
        <v>1</v>
      </c>
      <c r="M22" s="12">
        <f>COUNTIFS('Maintenance Log'!$B$4:$B$500,$A22,'Maintenance Log'!$D$4:$D$500,"Breakdown",'Maintenance Log'!$C$4:$C$500,"&gt;="&amp;DATE(2026,6,1),'Maintenance Log'!$C$4:$C$500,"&lt;"&amp;DATE(2026,7,1))</f>
        <v>0</v>
      </c>
      <c r="N22" s="12">
        <f>COUNTIFS('Maintenance Log'!$B$4:$B$500,$A22,'Maintenance Log'!$D$4:$D$500,"Breakdown",'Maintenance Log'!$C$4:$C$500,"&gt;="&amp;DATE(2026,7,1),'Maintenance Log'!$C$4:$C$500,"&lt;"&amp;DATE(2026,8,1))</f>
        <v>0</v>
      </c>
    </row>
    <row r="25" spans="1:14" x14ac:dyDescent="0.35">
      <c r="A25" s="19" t="s">
        <v>167</v>
      </c>
    </row>
    <row r="26" spans="1:14" x14ac:dyDescent="0.35">
      <c r="A26" s="11" t="s">
        <v>21</v>
      </c>
      <c r="B26" s="11"/>
      <c r="C26" s="11" t="s">
        <v>155</v>
      </c>
      <c r="D26" s="11" t="s">
        <v>156</v>
      </c>
      <c r="E26" s="11" t="s">
        <v>157</v>
      </c>
      <c r="F26" s="11" t="s">
        <v>158</v>
      </c>
      <c r="G26" s="11" t="s">
        <v>159</v>
      </c>
      <c r="H26" s="11" t="s">
        <v>160</v>
      </c>
      <c r="I26" s="11" t="s">
        <v>161</v>
      </c>
      <c r="J26" s="11" t="s">
        <v>162</v>
      </c>
      <c r="K26" s="11" t="s">
        <v>163</v>
      </c>
      <c r="L26" s="11" t="s">
        <v>164</v>
      </c>
      <c r="M26" s="11" t="s">
        <v>165</v>
      </c>
      <c r="N26" s="11" t="s">
        <v>166</v>
      </c>
    </row>
    <row r="27" spans="1:14" x14ac:dyDescent="0.35">
      <c r="A27" s="20" t="s">
        <v>31</v>
      </c>
      <c r="B27" s="21"/>
      <c r="C27" s="15">
        <f t="shared" ref="C27:N27" si="0">SUM(C5:C7)</f>
        <v>3</v>
      </c>
      <c r="D27" s="15">
        <f t="shared" si="0"/>
        <v>2</v>
      </c>
      <c r="E27" s="15">
        <f t="shared" si="0"/>
        <v>0</v>
      </c>
      <c r="F27" s="15">
        <f t="shared" si="0"/>
        <v>0</v>
      </c>
      <c r="G27" s="15">
        <f t="shared" si="0"/>
        <v>0</v>
      </c>
      <c r="H27" s="15">
        <f t="shared" si="0"/>
        <v>0</v>
      </c>
      <c r="I27" s="15">
        <f t="shared" si="0"/>
        <v>0</v>
      </c>
      <c r="J27" s="15">
        <f t="shared" si="0"/>
        <v>1</v>
      </c>
      <c r="K27" s="15">
        <f t="shared" si="0"/>
        <v>1</v>
      </c>
      <c r="L27" s="15">
        <f t="shared" si="0"/>
        <v>0</v>
      </c>
      <c r="M27" s="15">
        <f t="shared" si="0"/>
        <v>1</v>
      </c>
      <c r="N27" s="15">
        <f t="shared" si="0"/>
        <v>0</v>
      </c>
    </row>
    <row r="28" spans="1:14" x14ac:dyDescent="0.35">
      <c r="A28" s="20" t="s">
        <v>39</v>
      </c>
      <c r="B28" s="21"/>
      <c r="C28" s="15">
        <f t="shared" ref="C28:N28" si="1">SUM(C8:C10)</f>
        <v>0</v>
      </c>
      <c r="D28" s="15">
        <f t="shared" si="1"/>
        <v>0</v>
      </c>
      <c r="E28" s="15">
        <f t="shared" si="1"/>
        <v>0</v>
      </c>
      <c r="F28" s="15">
        <f t="shared" si="1"/>
        <v>0</v>
      </c>
      <c r="G28" s="15">
        <f t="shared" si="1"/>
        <v>0</v>
      </c>
      <c r="H28" s="15">
        <f t="shared" si="1"/>
        <v>1</v>
      </c>
      <c r="I28" s="15">
        <f t="shared" si="1"/>
        <v>1</v>
      </c>
      <c r="J28" s="15">
        <f t="shared" si="1"/>
        <v>1</v>
      </c>
      <c r="K28" s="15">
        <f t="shared" si="1"/>
        <v>0</v>
      </c>
      <c r="L28" s="15">
        <f t="shared" si="1"/>
        <v>1</v>
      </c>
      <c r="M28" s="15">
        <f t="shared" si="1"/>
        <v>1</v>
      </c>
      <c r="N28" s="15">
        <f t="shared" si="1"/>
        <v>2</v>
      </c>
    </row>
    <row r="29" spans="1:14" x14ac:dyDescent="0.35">
      <c r="A29" s="20" t="s">
        <v>47</v>
      </c>
      <c r="B29" s="21"/>
      <c r="C29" s="15">
        <f t="shared" ref="C29:N29" si="2">SUM(C11:C13)</f>
        <v>1</v>
      </c>
      <c r="D29" s="15">
        <f t="shared" si="2"/>
        <v>0</v>
      </c>
      <c r="E29" s="15">
        <f t="shared" si="2"/>
        <v>1</v>
      </c>
      <c r="F29" s="15">
        <f t="shared" si="2"/>
        <v>0</v>
      </c>
      <c r="G29" s="15">
        <f t="shared" si="2"/>
        <v>1</v>
      </c>
      <c r="H29" s="15">
        <f t="shared" si="2"/>
        <v>0</v>
      </c>
      <c r="I29" s="15">
        <f t="shared" si="2"/>
        <v>0</v>
      </c>
      <c r="J29" s="15">
        <f t="shared" si="2"/>
        <v>1</v>
      </c>
      <c r="K29" s="15">
        <f t="shared" si="2"/>
        <v>0</v>
      </c>
      <c r="L29" s="15">
        <f t="shared" si="2"/>
        <v>0</v>
      </c>
      <c r="M29" s="15">
        <f t="shared" si="2"/>
        <v>0</v>
      </c>
      <c r="N29" s="15">
        <f t="shared" si="2"/>
        <v>0</v>
      </c>
    </row>
    <row r="30" spans="1:14" x14ac:dyDescent="0.35">
      <c r="A30" s="20" t="s">
        <v>54</v>
      </c>
      <c r="B30" s="21"/>
      <c r="C30" s="15">
        <f t="shared" ref="C30:N30" si="3">SUM(C14:C16)</f>
        <v>1</v>
      </c>
      <c r="D30" s="15">
        <f t="shared" si="3"/>
        <v>0</v>
      </c>
      <c r="E30" s="15">
        <f t="shared" si="3"/>
        <v>1</v>
      </c>
      <c r="F30" s="15">
        <f t="shared" si="3"/>
        <v>1</v>
      </c>
      <c r="G30" s="15">
        <f t="shared" si="3"/>
        <v>0</v>
      </c>
      <c r="H30" s="15">
        <f t="shared" si="3"/>
        <v>1</v>
      </c>
      <c r="I30" s="15">
        <f t="shared" si="3"/>
        <v>0</v>
      </c>
      <c r="J30" s="15">
        <f t="shared" si="3"/>
        <v>1</v>
      </c>
      <c r="K30" s="15">
        <f t="shared" si="3"/>
        <v>1</v>
      </c>
      <c r="L30" s="15">
        <f t="shared" si="3"/>
        <v>0</v>
      </c>
      <c r="M30" s="15">
        <f t="shared" si="3"/>
        <v>0</v>
      </c>
      <c r="N30" s="15">
        <f t="shared" si="3"/>
        <v>0</v>
      </c>
    </row>
    <row r="31" spans="1:14" x14ac:dyDescent="0.35">
      <c r="A31" s="20" t="s">
        <v>61</v>
      </c>
      <c r="B31" s="21"/>
      <c r="C31" s="15">
        <f t="shared" ref="C31:N31" si="4">SUM(C17:C19)</f>
        <v>1</v>
      </c>
      <c r="D31" s="15">
        <f t="shared" si="4"/>
        <v>0</v>
      </c>
      <c r="E31" s="15">
        <f t="shared" si="4"/>
        <v>0</v>
      </c>
      <c r="F31" s="15">
        <f t="shared" si="4"/>
        <v>0</v>
      </c>
      <c r="G31" s="15">
        <f t="shared" si="4"/>
        <v>0</v>
      </c>
      <c r="H31" s="15">
        <f t="shared" si="4"/>
        <v>0</v>
      </c>
      <c r="I31" s="15">
        <f t="shared" si="4"/>
        <v>0</v>
      </c>
      <c r="J31" s="15">
        <f t="shared" si="4"/>
        <v>1</v>
      </c>
      <c r="K31" s="15">
        <f t="shared" si="4"/>
        <v>1</v>
      </c>
      <c r="L31" s="15">
        <f t="shared" si="4"/>
        <v>0</v>
      </c>
      <c r="M31" s="15">
        <f t="shared" si="4"/>
        <v>0</v>
      </c>
      <c r="N31" s="15">
        <f t="shared" si="4"/>
        <v>0</v>
      </c>
    </row>
    <row r="32" spans="1:14" x14ac:dyDescent="0.35">
      <c r="A32" s="20" t="s">
        <v>69</v>
      </c>
      <c r="B32" s="21"/>
      <c r="C32" s="15">
        <f t="shared" ref="C32:N32" si="5">SUM(C20:C22)</f>
        <v>0</v>
      </c>
      <c r="D32" s="15">
        <f t="shared" si="5"/>
        <v>1</v>
      </c>
      <c r="E32" s="15">
        <f t="shared" si="5"/>
        <v>0</v>
      </c>
      <c r="F32" s="15">
        <f t="shared" si="5"/>
        <v>0</v>
      </c>
      <c r="G32" s="15">
        <f t="shared" si="5"/>
        <v>0</v>
      </c>
      <c r="H32" s="15">
        <f t="shared" si="5"/>
        <v>0</v>
      </c>
      <c r="I32" s="15">
        <f t="shared" si="5"/>
        <v>0</v>
      </c>
      <c r="J32" s="15">
        <f t="shared" si="5"/>
        <v>1</v>
      </c>
      <c r="K32" s="15">
        <f t="shared" si="5"/>
        <v>0</v>
      </c>
      <c r="L32" s="15">
        <f t="shared" si="5"/>
        <v>2</v>
      </c>
      <c r="M32" s="15">
        <f t="shared" si="5"/>
        <v>0</v>
      </c>
      <c r="N32" s="15">
        <f t="shared" si="5"/>
        <v>0</v>
      </c>
    </row>
    <row r="33" spans="1:14" x14ac:dyDescent="0.35">
      <c r="A33" s="22" t="s">
        <v>168</v>
      </c>
      <c r="B33" s="23"/>
      <c r="C33" s="22">
        <f t="shared" ref="C33:N33" si="6">SUM(C27:C32)</f>
        <v>6</v>
      </c>
      <c r="D33" s="22">
        <f t="shared" si="6"/>
        <v>3</v>
      </c>
      <c r="E33" s="22">
        <f t="shared" si="6"/>
        <v>2</v>
      </c>
      <c r="F33" s="22">
        <f t="shared" si="6"/>
        <v>1</v>
      </c>
      <c r="G33" s="22">
        <f t="shared" si="6"/>
        <v>1</v>
      </c>
      <c r="H33" s="22">
        <f t="shared" si="6"/>
        <v>2</v>
      </c>
      <c r="I33" s="22">
        <f t="shared" si="6"/>
        <v>1</v>
      </c>
      <c r="J33" s="22">
        <f t="shared" si="6"/>
        <v>6</v>
      </c>
      <c r="K33" s="22">
        <f t="shared" si="6"/>
        <v>3</v>
      </c>
      <c r="L33" s="22">
        <f t="shared" si="6"/>
        <v>3</v>
      </c>
      <c r="M33" s="22">
        <f t="shared" si="6"/>
        <v>2</v>
      </c>
      <c r="N33" s="22">
        <f t="shared" si="6"/>
        <v>2</v>
      </c>
    </row>
  </sheetData>
  <mergeCells count="2">
    <mergeCell ref="A1:N1"/>
    <mergeCell ref="A2:N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Asset Register</vt:lpstr>
      <vt:lpstr>Maintenance Log</vt:lpstr>
      <vt:lpstr>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Amandaa Ang</cp:lastModifiedBy>
  <cp:revision>1</cp:revision>
  <dcterms:created xsi:type="dcterms:W3CDTF">2026-07-26T06:37:47Z</dcterms:created>
  <dcterms:modified xsi:type="dcterms:W3CDTF">2026-07-26T06:38:59Z</dcterms:modified>
  <dc:language>en-US</dc:language>
</cp:coreProperties>
</file>